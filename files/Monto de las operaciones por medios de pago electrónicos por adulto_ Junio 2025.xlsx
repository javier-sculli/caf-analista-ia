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8_{916C639C-B7F1-4CEF-B59C-B6A92FD006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.2.1" sheetId="2" r:id="rId1"/>
    <sheet name="Nota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4" i="2" l="1"/>
</calcChain>
</file>

<file path=xl/sharedStrings.xml><?xml version="1.0" encoding="utf-8"?>
<sst xmlns="http://schemas.openxmlformats.org/spreadsheetml/2006/main" count="59" uniqueCount="45">
  <si>
    <t>ATM / ATM</t>
  </si>
  <si>
    <t>TOTAL</t>
  </si>
  <si>
    <t>Medio de pago / Mean of payment</t>
  </si>
  <si>
    <t>Canal / Channel</t>
  </si>
  <si>
    <t>Tarjeta de crédito / Credit card</t>
  </si>
  <si>
    <t>Tarjeta de débito / Debit card</t>
  </si>
  <si>
    <t>Tarjeta prepaga / Prepaid card</t>
  </si>
  <si>
    <t>Banca por internet / Home-banking</t>
  </si>
  <si>
    <t>Banca móvil / Mobile-banking</t>
  </si>
  <si>
    <t xml:space="preserve">Monto de las operaciones por medios de pago electrónicos por adulto / Amount of transactions through electronic means of payment per adult
</t>
  </si>
  <si>
    <t>Medios de pago electrónicos / Electronic means of payment</t>
  </si>
  <si>
    <t>POS / POS</t>
  </si>
  <si>
    <t>Otros canales / Other channels</t>
  </si>
  <si>
    <t>Transferencias electrónicas CBU a CBU / Electronic transfers CBU to CBU</t>
  </si>
  <si>
    <t>Transferencias electrónicas CVU a CBU / Electronic transfers CVU to CBU</t>
  </si>
  <si>
    <t>Transferencias electrónicas CBU a CVU / Electronic transfers CBU to CVU</t>
  </si>
  <si>
    <t>Notas metodológicas y definiciones de términos</t>
  </si>
  <si>
    <t xml:space="preserve">Notas: </t>
  </si>
  <si>
    <t>1.1</t>
  </si>
  <si>
    <t>1.2</t>
  </si>
  <si>
    <t>1.3</t>
  </si>
  <si>
    <t>1.4</t>
  </si>
  <si>
    <t xml:space="preserve">Las series de los indicadores de pagos con tarjetas de débito desagregadas en POS y otros canales (mPOS, QR, botón de pago, entre otros) cuentan con datos a partir de noviembre de 2019. </t>
  </si>
  <si>
    <t>Datos de población:</t>
  </si>
  <si>
    <t>2.</t>
  </si>
  <si>
    <t>Definiciones:</t>
  </si>
  <si>
    <t>2.1</t>
  </si>
  <si>
    <t>ATM: cajero automático</t>
  </si>
  <si>
    <t>2.2</t>
  </si>
  <si>
    <t>POS: terminales de punto de venta (point of sale)</t>
  </si>
  <si>
    <t>2.3</t>
  </si>
  <si>
    <t>CBU: clave bancaria uniforme</t>
  </si>
  <si>
    <t>2.4</t>
  </si>
  <si>
    <t>CVU: clave virtual uniforme</t>
  </si>
  <si>
    <t>Transferencias electrónicas CVU a CVU / Electronic transfers CVU to CVU</t>
  </si>
  <si>
    <t>Pagos con Transferencias</t>
  </si>
  <si>
    <t>Débitos directos e inmediatos</t>
  </si>
  <si>
    <t>Expresado en pesos constantes de junio de 2025 / Expressed in constant pesos of June 2025</t>
  </si>
  <si>
    <t>Las proyecciones de población se calcularon en base a los resultados del Censo Nacional de Población, Hogares y Viviendas (CNPHV) de 2010 para los meses hasta junio de 2022 y del CNPHV de 2022 a partir de julio 2022. Se utilizó como punto de partida la serie “Población por sexo y grupos quinquenales de edad para el total del país y provincias. Años 2010-2040”. Población adulta: contempla a las personas de 15 años o más, siguiendo el estándar utilizado por el Banco Mundial para sus indicadores de inclusión financiera.</t>
  </si>
  <si>
    <t>Los medios de pago electrónicos comprenden a (a) las transferencias: incluye transferencias interbancarias y
desde y/o hacia una cuenta de pago y no incluye transferencias entre cuentas de pago de un mismo proveedor de servicios de pago
(PSP) ni dentro de una misma entidad financiera; (b) PCT: incluye pagos con transferencias interoperables y no incluye pagos con
transferencia entre un mismo PSP; (c) tarjetas: débito, crédito y prepaga; y (d) débitos inmediatos y débitos directos.</t>
  </si>
  <si>
    <t xml:space="preserve">Las cifras presentadas en esta sección están sujetas a revisión y posibles rectificaciones. </t>
  </si>
  <si>
    <r>
      <rPr>
        <b/>
        <sz val="10"/>
        <color theme="1"/>
        <rFont val="Roboto"/>
      </rPr>
      <t xml:space="preserve">Source </t>
    </r>
    <r>
      <rPr>
        <sz val="10"/>
        <color theme="1"/>
        <rFont val="Roboto"/>
      </rPr>
      <t>| BCRA, INDEC and networks.</t>
    </r>
  </si>
  <si>
    <r>
      <rPr>
        <b/>
        <sz val="10"/>
        <color theme="1"/>
        <rFont val="Roboto"/>
      </rPr>
      <t>Fuente |</t>
    </r>
    <r>
      <rPr>
        <sz val="10"/>
        <color theme="1"/>
        <rFont val="Roboto"/>
      </rPr>
      <t xml:space="preserve"> BCRA, INDEC y redes.</t>
    </r>
  </si>
  <si>
    <r>
      <rPr>
        <b/>
        <sz val="10"/>
        <color theme="1"/>
        <rFont val="Roboto"/>
      </rPr>
      <t>Note</t>
    </r>
    <r>
      <rPr>
        <sz val="10"/>
        <color theme="1"/>
        <rFont val="Roboto"/>
      </rPr>
      <t xml:space="preserve"> | Price index calculated on the value of June 2025.</t>
    </r>
  </si>
  <si>
    <r>
      <rPr>
        <b/>
        <sz val="10"/>
        <color theme="1"/>
        <rFont val="Roboto"/>
      </rPr>
      <t>Nota</t>
    </r>
    <r>
      <rPr>
        <sz val="10"/>
        <color theme="1"/>
        <rFont val="Roboto"/>
      </rPr>
      <t xml:space="preserve"> | Precios constantes (IPC base 100 = junio 2025).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</si>
</sst>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3"/>
      <color theme="1"/>
      <name val="Roboto"/>
    </font>
    <font>
      <b/>
      <sz val="13"/>
      <color theme="1"/>
      <name val="Roboto"/>
    </font>
    <font>
      <sz val="11"/>
      <color theme="1"/>
      <name val="Roboto"/>
    </font>
    <font>
      <b/>
      <sz val="14"/>
      <color theme="1"/>
      <name val="Roboto"/>
    </font>
    <font>
      <b/>
      <sz val="11"/>
      <color rgb="FF000000"/>
      <name val="Roboto"/>
    </font>
    <font>
      <sz val="11"/>
      <color rgb="FF000000"/>
      <name val="Roboto"/>
    </font>
    <font>
      <b/>
      <sz val="11"/>
      <color theme="1"/>
      <name val="Roboto"/>
    </font>
    <font>
      <sz val="10"/>
      <color theme="1"/>
      <name val="Roboto"/>
    </font>
    <font>
      <b/>
      <sz val="10"/>
      <color theme="1"/>
      <name val="Roboto"/>
    </font>
    <font>
      <sz val="11"/>
      <color theme="1"/>
      <name val="Arial"/>
      <family val="2"/>
    </font>
    <font>
      <sz val="11"/>
      <name val="Roboto"/>
    </font>
    <font>
      <b/>
      <sz val="13"/>
      <name val="Roboto"/>
    </font>
    <font>
      <b/>
      <sz val="11"/>
      <name val="Roboto"/>
    </font>
    <font>
      <u/>
      <sz val="11"/>
      <name val="Roboto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0" fontId="28" fillId="0" borderId="0"/>
    <xf numFmtId="0" fontId="18" fillId="0" borderId="0"/>
  </cellStyleXfs>
  <cellXfs count="30">
    <xf numFmtId="0" fontId="0" fillId="0" borderId="0" xfId="0"/>
    <xf numFmtId="0" fontId="19" fillId="33" borderId="0" xfId="0" applyFont="1" applyFill="1" applyAlignment="1">
      <alignment vertical="center"/>
    </xf>
    <xf numFmtId="0" fontId="20" fillId="33" borderId="0" xfId="0" applyFont="1" applyFill="1" applyAlignment="1">
      <alignment vertical="center"/>
    </xf>
    <xf numFmtId="0" fontId="21" fillId="33" borderId="0" xfId="0" applyFont="1" applyFill="1" applyAlignment="1">
      <alignment vertical="center"/>
    </xf>
    <xf numFmtId="0" fontId="21" fillId="33" borderId="0" xfId="0" applyFont="1" applyFill="1"/>
    <xf numFmtId="0" fontId="22" fillId="33" borderId="0" xfId="0" applyFont="1" applyFill="1"/>
    <xf numFmtId="0" fontId="21" fillId="34" borderId="0" xfId="0" applyFont="1" applyFill="1" applyAlignment="1">
      <alignment horizontal="right" vertical="center"/>
    </xf>
    <xf numFmtId="0" fontId="23" fillId="35" borderId="10" xfId="0" applyFont="1" applyFill="1" applyBorder="1" applyAlignment="1">
      <alignment horizontal="left" vertical="center" wrapText="1"/>
    </xf>
    <xf numFmtId="17" fontId="23" fillId="35" borderId="10" xfId="0" applyNumberFormat="1" applyFont="1" applyFill="1" applyBorder="1" applyAlignment="1">
      <alignment horizontal="center" vertical="center"/>
    </xf>
    <xf numFmtId="0" fontId="24" fillId="33" borderId="0" xfId="0" applyFont="1" applyFill="1" applyAlignment="1">
      <alignment horizontal="left" vertical="center" wrapText="1"/>
    </xf>
    <xf numFmtId="164" fontId="21" fillId="33" borderId="0" xfId="1" applyNumberFormat="1" applyFont="1" applyFill="1" applyAlignment="1">
      <alignment vertical="center"/>
    </xf>
    <xf numFmtId="0" fontId="25" fillId="33" borderId="0" xfId="0" applyFont="1" applyFill="1" applyAlignment="1">
      <alignment vertical="center"/>
    </xf>
    <xf numFmtId="0" fontId="23" fillId="33" borderId="11" xfId="0" applyFont="1" applyFill="1" applyBorder="1" applyAlignment="1">
      <alignment horizontal="left" vertical="center" wrapText="1"/>
    </xf>
    <xf numFmtId="164" fontId="25" fillId="33" borderId="11" xfId="1" applyNumberFormat="1" applyFont="1" applyFill="1" applyBorder="1" applyAlignment="1">
      <alignment vertical="center"/>
    </xf>
    <xf numFmtId="0" fontId="26" fillId="33" borderId="0" xfId="0" applyFont="1" applyFill="1" applyAlignment="1">
      <alignment vertical="center"/>
    </xf>
    <xf numFmtId="0" fontId="24" fillId="33" borderId="0" xfId="0" applyFont="1" applyFill="1" applyAlignment="1">
      <alignment horizontal="left" vertical="center" wrapText="1" indent="2"/>
    </xf>
    <xf numFmtId="0" fontId="29" fillId="0" borderId="0" xfId="43" applyFont="1"/>
    <xf numFmtId="0" fontId="29" fillId="0" borderId="0" xfId="43" applyFont="1" applyAlignment="1">
      <alignment vertical="center" wrapText="1"/>
    </xf>
    <xf numFmtId="0" fontId="30" fillId="0" borderId="0" xfId="43" applyFont="1" applyAlignment="1">
      <alignment vertical="center"/>
    </xf>
    <xf numFmtId="0" fontId="30" fillId="0" borderId="0" xfId="43" applyFont="1" applyAlignment="1">
      <alignment vertical="center" wrapText="1"/>
    </xf>
    <xf numFmtId="0" fontId="31" fillId="0" borderId="0" xfId="43" applyFont="1" applyAlignment="1">
      <alignment horizontal="left" vertical="center"/>
    </xf>
    <xf numFmtId="0" fontId="31" fillId="0" borderId="0" xfId="43" applyFont="1" applyAlignment="1">
      <alignment vertical="center" wrapText="1"/>
    </xf>
    <xf numFmtId="0" fontId="29" fillId="0" borderId="0" xfId="43" applyFont="1" applyAlignment="1">
      <alignment horizontal="left" vertical="top" wrapText="1"/>
    </xf>
    <xf numFmtId="0" fontId="29" fillId="0" borderId="0" xfId="43" applyFont="1" applyAlignment="1">
      <alignment vertical="top"/>
    </xf>
    <xf numFmtId="0" fontId="32" fillId="0" borderId="0" xfId="43" applyFont="1" applyAlignment="1">
      <alignment vertical="center" wrapText="1"/>
    </xf>
    <xf numFmtId="0" fontId="31" fillId="0" borderId="0" xfId="43" applyFont="1" applyAlignment="1">
      <alignment horizontal="left" vertical="top"/>
    </xf>
    <xf numFmtId="0" fontId="29" fillId="0" borderId="0" xfId="43" applyFont="1" applyAlignment="1">
      <alignment horizontal="left" vertical="top"/>
    </xf>
    <xf numFmtId="0" fontId="29" fillId="0" borderId="0" xfId="43" applyFont="1" applyAlignment="1">
      <alignment vertical="center"/>
    </xf>
    <xf numFmtId="0" fontId="24" fillId="0" borderId="0" xfId="43" applyFont="1" applyAlignment="1">
      <alignment vertical="top" wrapText="1"/>
    </xf>
    <xf numFmtId="0" fontId="29" fillId="0" borderId="0" xfId="0" applyFont="1" applyAlignment="1">
      <alignment horizontal="justify" vertical="center" wrapText="1"/>
    </xf>
  </cellXfs>
  <cellStyles count="48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Comma 2" xfId="45" xr:uid="{ECD7FC5E-87CD-4F03-AFC9-9212A4BBCFB3}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rmal 3" xfId="43" xr:uid="{00000000-0005-0000-0000-000023000000}"/>
    <cellStyle name="Normal 3 2" xfId="46" xr:uid="{6D9B97CD-B839-4F83-B84C-6CA44D00A6AE}"/>
    <cellStyle name="Normal 3 2 2" xfId="47" xr:uid="{1C219769-17BE-46F6-A8AC-3F2FD08CB171}"/>
    <cellStyle name="Normal 3 3" xfId="44" xr:uid="{ED9F857D-11EC-47FB-8403-06AA1B636873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M26"/>
  <sheetViews>
    <sheetView showGridLines="0" tabSelected="1" zoomScaleNormal="100" workbookViewId="0">
      <selection activeCell="B2" sqref="B2"/>
    </sheetView>
  </sheetViews>
  <sheetFormatPr baseColWidth="10" defaultColWidth="9" defaultRowHeight="14.4" x14ac:dyDescent="0.3"/>
  <cols>
    <col min="1" max="1" width="3.5546875" style="4" customWidth="1"/>
    <col min="2" max="2" width="76.33203125" style="4" customWidth="1"/>
    <col min="3" max="3" width="39.6640625" style="4" customWidth="1"/>
    <col min="4" max="28" width="12.6640625" style="4" customWidth="1"/>
    <col min="29" max="117" width="13.88671875" style="4" customWidth="1"/>
    <col min="118" max="16384" width="9" style="4"/>
  </cols>
  <sheetData>
    <row r="2" spans="1:117" s="1" customFormat="1" ht="18" customHeight="1" x14ac:dyDescent="0.3">
      <c r="B2" s="2" t="s">
        <v>9</v>
      </c>
      <c r="C2" s="2"/>
    </row>
    <row r="3" spans="1:117" s="3" customFormat="1" ht="16.2" customHeight="1" x14ac:dyDescent="0.3">
      <c r="B3" s="3" t="s">
        <v>37</v>
      </c>
    </row>
    <row r="4" spans="1:117" ht="18" x14ac:dyDescent="0.35">
      <c r="B4" s="5"/>
      <c r="C4" s="5"/>
    </row>
    <row r="5" spans="1:117" s="3" customFormat="1" ht="22.2" customHeight="1" x14ac:dyDescent="0.3">
      <c r="A5" s="6"/>
      <c r="B5" s="7" t="s">
        <v>2</v>
      </c>
      <c r="C5" s="7" t="s">
        <v>3</v>
      </c>
      <c r="D5" s="8">
        <v>42370</v>
      </c>
      <c r="E5" s="8">
        <v>42401</v>
      </c>
      <c r="F5" s="8">
        <v>42430</v>
      </c>
      <c r="G5" s="8">
        <v>42461</v>
      </c>
      <c r="H5" s="8">
        <v>42491</v>
      </c>
      <c r="I5" s="8">
        <v>42522</v>
      </c>
      <c r="J5" s="8">
        <v>42552</v>
      </c>
      <c r="K5" s="8">
        <v>42583</v>
      </c>
      <c r="L5" s="8">
        <v>42614</v>
      </c>
      <c r="M5" s="8">
        <v>42644</v>
      </c>
      <c r="N5" s="8">
        <v>42675</v>
      </c>
      <c r="O5" s="8">
        <v>42705</v>
      </c>
      <c r="P5" s="8">
        <v>42736</v>
      </c>
      <c r="Q5" s="8">
        <v>42767</v>
      </c>
      <c r="R5" s="8">
        <v>42795</v>
      </c>
      <c r="S5" s="8">
        <v>42826</v>
      </c>
      <c r="T5" s="8">
        <v>42856</v>
      </c>
      <c r="U5" s="8">
        <v>42887</v>
      </c>
      <c r="V5" s="8">
        <v>42917</v>
      </c>
      <c r="W5" s="8">
        <v>42948</v>
      </c>
      <c r="X5" s="8">
        <v>42979</v>
      </c>
      <c r="Y5" s="8">
        <v>43009</v>
      </c>
      <c r="Z5" s="8">
        <v>43040</v>
      </c>
      <c r="AA5" s="8">
        <v>43070</v>
      </c>
      <c r="AB5" s="8">
        <v>43101</v>
      </c>
      <c r="AC5" s="8">
        <v>43132</v>
      </c>
      <c r="AD5" s="8">
        <v>43160</v>
      </c>
      <c r="AE5" s="8">
        <v>43191</v>
      </c>
      <c r="AF5" s="8">
        <v>43221</v>
      </c>
      <c r="AG5" s="8">
        <v>43252</v>
      </c>
      <c r="AH5" s="8">
        <v>43282</v>
      </c>
      <c r="AI5" s="8">
        <v>43313</v>
      </c>
      <c r="AJ5" s="8">
        <v>43344</v>
      </c>
      <c r="AK5" s="8">
        <v>43374</v>
      </c>
      <c r="AL5" s="8">
        <v>43405</v>
      </c>
      <c r="AM5" s="8">
        <v>43435</v>
      </c>
      <c r="AN5" s="8">
        <v>43466</v>
      </c>
      <c r="AO5" s="8">
        <v>43497</v>
      </c>
      <c r="AP5" s="8">
        <v>43525</v>
      </c>
      <c r="AQ5" s="8">
        <v>43556</v>
      </c>
      <c r="AR5" s="8">
        <v>43586</v>
      </c>
      <c r="AS5" s="8">
        <v>43617</v>
      </c>
      <c r="AT5" s="8">
        <v>43647</v>
      </c>
      <c r="AU5" s="8">
        <v>43678</v>
      </c>
      <c r="AV5" s="8">
        <v>43709</v>
      </c>
      <c r="AW5" s="8">
        <v>43739</v>
      </c>
      <c r="AX5" s="8">
        <v>43770</v>
      </c>
      <c r="AY5" s="8">
        <v>43800</v>
      </c>
      <c r="AZ5" s="8">
        <v>43831</v>
      </c>
      <c r="BA5" s="8">
        <v>43862</v>
      </c>
      <c r="BB5" s="8">
        <v>43891</v>
      </c>
      <c r="BC5" s="8">
        <v>43922</v>
      </c>
      <c r="BD5" s="8">
        <v>43952</v>
      </c>
      <c r="BE5" s="8">
        <v>43983</v>
      </c>
      <c r="BF5" s="8">
        <v>44013</v>
      </c>
      <c r="BG5" s="8">
        <v>44044</v>
      </c>
      <c r="BH5" s="8">
        <v>44075</v>
      </c>
      <c r="BI5" s="8">
        <v>44105</v>
      </c>
      <c r="BJ5" s="8">
        <v>44136</v>
      </c>
      <c r="BK5" s="8">
        <v>44166</v>
      </c>
      <c r="BL5" s="8">
        <v>44197</v>
      </c>
      <c r="BM5" s="8">
        <v>44228</v>
      </c>
      <c r="BN5" s="8">
        <v>44256</v>
      </c>
      <c r="BO5" s="8">
        <v>44287</v>
      </c>
      <c r="BP5" s="8">
        <v>44317</v>
      </c>
      <c r="BQ5" s="8">
        <v>44348</v>
      </c>
      <c r="BR5" s="8">
        <v>44378</v>
      </c>
      <c r="BS5" s="8">
        <v>44409</v>
      </c>
      <c r="BT5" s="8">
        <v>44440</v>
      </c>
      <c r="BU5" s="8">
        <v>44470</v>
      </c>
      <c r="BV5" s="8">
        <v>44501</v>
      </c>
      <c r="BW5" s="8">
        <v>44531</v>
      </c>
      <c r="BX5" s="8">
        <v>44562</v>
      </c>
      <c r="BY5" s="8">
        <v>44593</v>
      </c>
      <c r="BZ5" s="8">
        <v>44621</v>
      </c>
      <c r="CA5" s="8">
        <v>44652</v>
      </c>
      <c r="CB5" s="8">
        <v>44682</v>
      </c>
      <c r="CC5" s="8">
        <v>44713</v>
      </c>
      <c r="CD5" s="8">
        <v>44743</v>
      </c>
      <c r="CE5" s="8">
        <v>44774</v>
      </c>
      <c r="CF5" s="8">
        <v>44805</v>
      </c>
      <c r="CG5" s="8">
        <v>44835</v>
      </c>
      <c r="CH5" s="8">
        <v>44866</v>
      </c>
      <c r="CI5" s="8">
        <v>44896</v>
      </c>
      <c r="CJ5" s="8">
        <v>44927</v>
      </c>
      <c r="CK5" s="8">
        <v>44958</v>
      </c>
      <c r="CL5" s="8">
        <v>44986</v>
      </c>
      <c r="CM5" s="8">
        <v>45017</v>
      </c>
      <c r="CN5" s="8">
        <v>45047</v>
      </c>
      <c r="CO5" s="8">
        <v>45078</v>
      </c>
      <c r="CP5" s="8">
        <v>45108</v>
      </c>
      <c r="CQ5" s="8">
        <v>45139</v>
      </c>
      <c r="CR5" s="8">
        <v>45170</v>
      </c>
      <c r="CS5" s="8">
        <v>45200</v>
      </c>
      <c r="CT5" s="8">
        <v>45231</v>
      </c>
      <c r="CU5" s="8">
        <v>45261</v>
      </c>
      <c r="CV5" s="8">
        <v>45292</v>
      </c>
      <c r="CW5" s="8">
        <v>45323</v>
      </c>
      <c r="CX5" s="8">
        <v>45352</v>
      </c>
      <c r="CY5" s="8">
        <v>45383</v>
      </c>
      <c r="CZ5" s="8">
        <v>45413</v>
      </c>
      <c r="DA5" s="8">
        <v>45444</v>
      </c>
      <c r="DB5" s="8">
        <v>45474</v>
      </c>
      <c r="DC5" s="8">
        <v>45505</v>
      </c>
      <c r="DD5" s="8">
        <v>45536</v>
      </c>
      <c r="DE5" s="8">
        <v>45566</v>
      </c>
      <c r="DF5" s="8">
        <v>45597</v>
      </c>
      <c r="DG5" s="8">
        <v>45627</v>
      </c>
      <c r="DH5" s="8">
        <v>45658</v>
      </c>
      <c r="DI5" s="8">
        <v>45689</v>
      </c>
      <c r="DJ5" s="8">
        <v>45717</v>
      </c>
      <c r="DK5" s="8">
        <v>45748</v>
      </c>
      <c r="DL5" s="8">
        <v>45778</v>
      </c>
      <c r="DM5" s="8">
        <v>45809</v>
      </c>
    </row>
    <row r="6" spans="1:117" s="3" customFormat="1" ht="18" customHeight="1" x14ac:dyDescent="0.3">
      <c r="B6" s="9" t="s">
        <v>4</v>
      </c>
      <c r="C6" s="9" t="s">
        <v>1</v>
      </c>
      <c r="D6" s="10">
        <v>138907.300781</v>
      </c>
      <c r="E6" s="10">
        <v>143324.66252700001</v>
      </c>
      <c r="F6" s="10">
        <v>153194.81289100001</v>
      </c>
      <c r="G6" s="10">
        <v>156499.63117899999</v>
      </c>
      <c r="H6" s="10">
        <v>171076.100393</v>
      </c>
      <c r="I6" s="10">
        <v>161891.839618</v>
      </c>
      <c r="J6" s="10">
        <v>168731.77692999999</v>
      </c>
      <c r="K6" s="10">
        <v>178955.116446</v>
      </c>
      <c r="L6" s="10">
        <v>175315.673224</v>
      </c>
      <c r="M6" s="10">
        <v>191669.64228999999</v>
      </c>
      <c r="N6" s="10">
        <v>189112.77209000001</v>
      </c>
      <c r="O6" s="10">
        <v>214997.446345</v>
      </c>
      <c r="P6" s="10">
        <v>191150.10524999999</v>
      </c>
      <c r="Q6" s="10">
        <v>144941.27601599999</v>
      </c>
      <c r="R6" s="10">
        <v>192775.20193899999</v>
      </c>
      <c r="S6" s="10">
        <v>167231.39535199999</v>
      </c>
      <c r="T6" s="10">
        <v>188545.411108</v>
      </c>
      <c r="U6" s="10">
        <v>186572.137613</v>
      </c>
      <c r="V6" s="10">
        <v>189049.07356200001</v>
      </c>
      <c r="W6" s="10">
        <v>185299.21225700001</v>
      </c>
      <c r="X6" s="10">
        <v>178916.439464</v>
      </c>
      <c r="Y6" s="10">
        <v>202595.420832</v>
      </c>
      <c r="Z6" s="10">
        <v>197790.984042</v>
      </c>
      <c r="AA6" s="10">
        <v>210219.743262</v>
      </c>
      <c r="AB6" s="10">
        <v>192654.847786</v>
      </c>
      <c r="AC6" s="10">
        <v>175712.59361700001</v>
      </c>
      <c r="AD6" s="10">
        <v>183773.370849</v>
      </c>
      <c r="AE6" s="10">
        <v>187395.91977800001</v>
      </c>
      <c r="AF6" s="10">
        <v>204371.59151900001</v>
      </c>
      <c r="AG6" s="10">
        <v>188018.00082799999</v>
      </c>
      <c r="AH6" s="10">
        <v>190231.193898</v>
      </c>
      <c r="AI6" s="10">
        <v>202603.07287599999</v>
      </c>
      <c r="AJ6" s="10">
        <v>176900.61096799999</v>
      </c>
      <c r="AK6" s="10">
        <v>207316.95566899999</v>
      </c>
      <c r="AL6" s="10">
        <v>193433.749721</v>
      </c>
      <c r="AM6" s="10">
        <v>209643.01658</v>
      </c>
      <c r="AN6" s="10">
        <v>195026.09013699999</v>
      </c>
      <c r="AO6" s="10">
        <v>170142.18470099999</v>
      </c>
      <c r="AP6" s="10">
        <v>184102.07154400001</v>
      </c>
      <c r="AQ6" s="10">
        <v>171206.49596599999</v>
      </c>
      <c r="AR6" s="10">
        <v>194561.52128099999</v>
      </c>
      <c r="AS6" s="10">
        <v>173600.62770099999</v>
      </c>
      <c r="AT6" s="10">
        <v>196936.06838000001</v>
      </c>
      <c r="AU6" s="10">
        <v>207398.54663900001</v>
      </c>
      <c r="AV6" s="10">
        <v>187433.356172</v>
      </c>
      <c r="AW6" s="10">
        <v>212670.86913499999</v>
      </c>
      <c r="AX6" s="10">
        <v>211477.42941300001</v>
      </c>
      <c r="AY6" s="10">
        <v>213655.97899900001</v>
      </c>
      <c r="AZ6" s="10">
        <v>186526.02129</v>
      </c>
      <c r="BA6" s="10">
        <v>179901.68667900001</v>
      </c>
      <c r="BB6" s="10">
        <v>151750.24871399999</v>
      </c>
      <c r="BC6" s="10">
        <v>121913.977971</v>
      </c>
      <c r="BD6" s="10">
        <v>164092.137051</v>
      </c>
      <c r="BE6" s="10">
        <v>167425.16644299999</v>
      </c>
      <c r="BF6" s="10">
        <v>190453.14362700001</v>
      </c>
      <c r="BG6" s="10">
        <v>172081.40880400001</v>
      </c>
      <c r="BH6" s="10">
        <v>165621.126754</v>
      </c>
      <c r="BI6" s="10">
        <v>191916.413592</v>
      </c>
      <c r="BJ6" s="10">
        <v>192007.216915</v>
      </c>
      <c r="BK6" s="10">
        <v>195181.74605300001</v>
      </c>
      <c r="BL6" s="10">
        <v>175074.42920399999</v>
      </c>
      <c r="BM6" s="10">
        <v>159081.782209</v>
      </c>
      <c r="BN6" s="10">
        <v>195645.892998</v>
      </c>
      <c r="BO6" s="10">
        <v>171518.83825500001</v>
      </c>
      <c r="BP6" s="10">
        <v>179411.27981400001</v>
      </c>
      <c r="BQ6" s="10">
        <v>171863.66158000001</v>
      </c>
      <c r="BR6" s="10">
        <v>186961.48910499999</v>
      </c>
      <c r="BS6" s="10">
        <v>189148.30812</v>
      </c>
      <c r="BT6" s="10">
        <v>185274.59741300001</v>
      </c>
      <c r="BU6" s="10">
        <v>212054.66567799999</v>
      </c>
      <c r="BV6" s="10">
        <v>215728.52984</v>
      </c>
      <c r="BW6" s="10">
        <v>229267.07511100001</v>
      </c>
      <c r="BX6" s="10">
        <v>183405.61552699999</v>
      </c>
      <c r="BY6" s="10">
        <v>170350.16454699999</v>
      </c>
      <c r="BZ6" s="10">
        <v>200546.47271500001</v>
      </c>
      <c r="CA6" s="10">
        <v>189464.63013199999</v>
      </c>
      <c r="CB6" s="10">
        <v>199082.470252</v>
      </c>
      <c r="CC6" s="10">
        <v>195614.555085</v>
      </c>
      <c r="CD6" s="10">
        <v>201405.616932</v>
      </c>
      <c r="CE6" s="10">
        <v>178605.053365</v>
      </c>
      <c r="CF6" s="10">
        <v>182035.823871</v>
      </c>
      <c r="CG6" s="10">
        <v>210535.91316</v>
      </c>
      <c r="CH6" s="10">
        <v>202492.58157099999</v>
      </c>
      <c r="CI6" s="10">
        <v>228149.31645899999</v>
      </c>
      <c r="CJ6" s="10">
        <v>208080.19385899999</v>
      </c>
      <c r="CK6" s="10">
        <v>187297.512973</v>
      </c>
      <c r="CL6" s="10">
        <v>224113.777462</v>
      </c>
      <c r="CM6" s="10">
        <v>216182.63331999999</v>
      </c>
      <c r="CN6" s="10">
        <v>210634.779308</v>
      </c>
      <c r="CO6" s="10">
        <v>221859.829203</v>
      </c>
      <c r="CP6" s="10">
        <v>233635.81417200001</v>
      </c>
      <c r="CQ6" s="10">
        <v>217653.55439899999</v>
      </c>
      <c r="CR6" s="10">
        <v>212747.649019</v>
      </c>
      <c r="CS6" s="10">
        <v>262531.91655800003</v>
      </c>
      <c r="CT6" s="10">
        <v>234444.096544</v>
      </c>
      <c r="CU6" s="10">
        <v>220239.84756299999</v>
      </c>
      <c r="CV6" s="10">
        <v>181487.397654</v>
      </c>
      <c r="CW6" s="10">
        <v>181186.76608500001</v>
      </c>
      <c r="CX6" s="10">
        <v>185281.96544299999</v>
      </c>
      <c r="CY6" s="10">
        <v>189357.20677200001</v>
      </c>
      <c r="CZ6" s="10">
        <v>226745.869194</v>
      </c>
      <c r="DA6" s="10">
        <v>213797.59953800001</v>
      </c>
      <c r="DB6" s="10">
        <v>242994.359054</v>
      </c>
      <c r="DC6" s="10">
        <v>254014.56266600001</v>
      </c>
      <c r="DD6" s="10">
        <v>243720.871113</v>
      </c>
      <c r="DE6" s="10">
        <v>248062.48672700001</v>
      </c>
      <c r="DF6" s="10">
        <v>257112.639234</v>
      </c>
      <c r="DG6" s="10">
        <v>243427.069636</v>
      </c>
      <c r="DH6" s="10">
        <v>213508.80932100001</v>
      </c>
      <c r="DI6" s="10">
        <v>223992.831382</v>
      </c>
      <c r="DJ6" s="10">
        <v>241926.98028300001</v>
      </c>
      <c r="DK6" s="10">
        <v>227646.72886500001</v>
      </c>
      <c r="DL6" s="10">
        <v>253076.24695</v>
      </c>
      <c r="DM6" s="10">
        <v>226915.10420199999</v>
      </c>
    </row>
    <row r="7" spans="1:117" s="3" customFormat="1" ht="18" customHeight="1" x14ac:dyDescent="0.3">
      <c r="B7" s="9" t="s">
        <v>5</v>
      </c>
      <c r="C7" s="9" t="s">
        <v>1</v>
      </c>
      <c r="D7" s="10">
        <v>71698.246734</v>
      </c>
      <c r="E7" s="10">
        <v>66417.093399000005</v>
      </c>
      <c r="F7" s="10">
        <v>68076.175988999996</v>
      </c>
      <c r="G7" s="10">
        <v>66478.230068000004</v>
      </c>
      <c r="H7" s="10">
        <v>66314.711261999997</v>
      </c>
      <c r="I7" s="10">
        <v>72250.138823000001</v>
      </c>
      <c r="J7" s="10">
        <v>88049.292591999998</v>
      </c>
      <c r="K7" s="10">
        <v>75267.716050999996</v>
      </c>
      <c r="L7" s="10">
        <v>73126.319031000006</v>
      </c>
      <c r="M7" s="10">
        <v>80075.618312999999</v>
      </c>
      <c r="N7" s="10">
        <v>76957.247971000004</v>
      </c>
      <c r="O7" s="10">
        <v>111932.379546</v>
      </c>
      <c r="P7" s="10">
        <v>91179.214917999998</v>
      </c>
      <c r="Q7" s="10">
        <v>84022.530255999998</v>
      </c>
      <c r="R7" s="10">
        <v>83017.868258999995</v>
      </c>
      <c r="S7" s="10">
        <v>80405.479542999994</v>
      </c>
      <c r="T7" s="10">
        <v>76224.677169000002</v>
      </c>
      <c r="U7" s="10">
        <v>82050.003385999997</v>
      </c>
      <c r="V7" s="10">
        <v>98366.489430999995</v>
      </c>
      <c r="W7" s="10">
        <v>89146.036257999993</v>
      </c>
      <c r="X7" s="10">
        <v>85832.226271000007</v>
      </c>
      <c r="Y7" s="10">
        <v>89318.428071000002</v>
      </c>
      <c r="Z7" s="10">
        <v>89502.615888999993</v>
      </c>
      <c r="AA7" s="10">
        <v>123628.04784699999</v>
      </c>
      <c r="AB7" s="10">
        <v>101522.862248</v>
      </c>
      <c r="AC7" s="10">
        <v>93573.902543999997</v>
      </c>
      <c r="AD7" s="10">
        <v>99274.772530000002</v>
      </c>
      <c r="AE7" s="10">
        <v>89650.824162999997</v>
      </c>
      <c r="AF7" s="10">
        <v>88795.644312999997</v>
      </c>
      <c r="AG7" s="10">
        <v>93844.453905999995</v>
      </c>
      <c r="AH7" s="10">
        <v>105269.89955099999</v>
      </c>
      <c r="AI7" s="10">
        <v>81885.776851000002</v>
      </c>
      <c r="AJ7" s="10">
        <v>85931.693471000006</v>
      </c>
      <c r="AK7" s="10">
        <v>85765.183674999993</v>
      </c>
      <c r="AL7" s="10">
        <v>86508.962360000005</v>
      </c>
      <c r="AM7" s="10">
        <v>128047.627299</v>
      </c>
      <c r="AN7" s="10">
        <v>99023.690046999996</v>
      </c>
      <c r="AO7" s="10">
        <v>89862.694281000004</v>
      </c>
      <c r="AP7" s="10">
        <v>97174.869290999995</v>
      </c>
      <c r="AQ7" s="10">
        <v>86856.366313999999</v>
      </c>
      <c r="AR7" s="10">
        <v>90483.695141000004</v>
      </c>
      <c r="AS7" s="10">
        <v>98520.786489999999</v>
      </c>
      <c r="AT7" s="10">
        <v>108041.09762</v>
      </c>
      <c r="AU7" s="10">
        <v>99262.391845000006</v>
      </c>
      <c r="AV7" s="10">
        <v>92112.298555000001</v>
      </c>
      <c r="AW7" s="10">
        <v>99871.786997999996</v>
      </c>
      <c r="AX7" s="10">
        <v>97022.017076999997</v>
      </c>
      <c r="AY7" s="10">
        <v>130960.916709</v>
      </c>
      <c r="AZ7" s="10">
        <v>108244.343528</v>
      </c>
      <c r="BA7" s="10">
        <v>105366.621992</v>
      </c>
      <c r="BB7" s="10">
        <v>99777.958555000005</v>
      </c>
      <c r="BC7" s="10">
        <v>97906.463940000001</v>
      </c>
      <c r="BD7" s="10">
        <v>112296.952449</v>
      </c>
      <c r="BE7" s="10">
        <v>119612.37596</v>
      </c>
      <c r="BF7" s="10">
        <v>132910.38620899999</v>
      </c>
      <c r="BG7" s="10">
        <v>122641.751194</v>
      </c>
      <c r="BH7" s="10">
        <v>120112.38578300001</v>
      </c>
      <c r="BI7" s="10">
        <v>131446.68237299999</v>
      </c>
      <c r="BJ7" s="10">
        <v>126525.052794</v>
      </c>
      <c r="BK7" s="10">
        <v>181973.77346299999</v>
      </c>
      <c r="BL7" s="10">
        <v>146994.27215</v>
      </c>
      <c r="BM7" s="10">
        <v>137062.64365899999</v>
      </c>
      <c r="BN7" s="10">
        <v>144241.059932</v>
      </c>
      <c r="BO7" s="10">
        <v>135674.905929</v>
      </c>
      <c r="BP7" s="10">
        <v>135545.818489</v>
      </c>
      <c r="BQ7" s="10">
        <v>149575.177214</v>
      </c>
      <c r="BR7" s="10">
        <v>165851.337119</v>
      </c>
      <c r="BS7" s="10">
        <v>147425.30526699999</v>
      </c>
      <c r="BT7" s="10">
        <v>142055.956775</v>
      </c>
      <c r="BU7" s="10">
        <v>163557.19249099999</v>
      </c>
      <c r="BV7" s="10">
        <v>155909.04743199999</v>
      </c>
      <c r="BW7" s="10">
        <v>214275.27484699999</v>
      </c>
      <c r="BX7" s="10">
        <v>170758.772803</v>
      </c>
      <c r="BY7" s="10">
        <v>163744.60984399999</v>
      </c>
      <c r="BZ7" s="10">
        <v>160599.51561599999</v>
      </c>
      <c r="CA7" s="10">
        <v>157969.85981200001</v>
      </c>
      <c r="CB7" s="10">
        <v>157950.95069200001</v>
      </c>
      <c r="CC7" s="10">
        <v>169944.804259</v>
      </c>
      <c r="CD7" s="10">
        <v>180752.00242500001</v>
      </c>
      <c r="CE7" s="10">
        <v>151015.39759099999</v>
      </c>
      <c r="CF7" s="10">
        <v>145110.109257</v>
      </c>
      <c r="CG7" s="10">
        <v>153139.03461199999</v>
      </c>
      <c r="CH7" s="10">
        <v>150597.98741999999</v>
      </c>
      <c r="CI7" s="10">
        <v>203910.96782600001</v>
      </c>
      <c r="CJ7" s="10">
        <v>169751.95352400001</v>
      </c>
      <c r="CK7" s="10">
        <v>153983.970718</v>
      </c>
      <c r="CL7" s="10">
        <v>159011.70473999999</v>
      </c>
      <c r="CM7" s="10">
        <v>157654.930349</v>
      </c>
      <c r="CN7" s="10">
        <v>146312.77410899999</v>
      </c>
      <c r="CO7" s="10">
        <v>144329.233117</v>
      </c>
      <c r="CP7" s="10">
        <v>164253.26378499999</v>
      </c>
      <c r="CQ7" s="10">
        <v>145714.274565</v>
      </c>
      <c r="CR7" s="10">
        <v>145693.880206</v>
      </c>
      <c r="CS7" s="10">
        <v>164635.08321300001</v>
      </c>
      <c r="CT7" s="10">
        <v>158269.70637199999</v>
      </c>
      <c r="CU7" s="10">
        <v>189369.520899</v>
      </c>
      <c r="CV7" s="10">
        <v>144138.83365099999</v>
      </c>
      <c r="CW7" s="10">
        <v>134392.41700099999</v>
      </c>
      <c r="CX7" s="10">
        <v>143623.597457</v>
      </c>
      <c r="CY7" s="10">
        <v>123711.564532</v>
      </c>
      <c r="CZ7" s="10">
        <v>135923.58166299999</v>
      </c>
      <c r="DA7" s="10">
        <v>145586.57976200001</v>
      </c>
      <c r="DB7" s="10">
        <v>154032.107964</v>
      </c>
      <c r="DC7" s="10">
        <v>141292.01511400001</v>
      </c>
      <c r="DD7" s="10">
        <v>131383.634812</v>
      </c>
      <c r="DE7" s="10">
        <v>136701.90181800001</v>
      </c>
      <c r="DF7" s="10">
        <v>134396.962027</v>
      </c>
      <c r="DG7" s="10">
        <v>165962.97078100001</v>
      </c>
      <c r="DH7" s="10">
        <v>137891.13550500001</v>
      </c>
      <c r="DI7" s="10">
        <v>126333.842762</v>
      </c>
      <c r="DJ7" s="10">
        <v>130741.78576100001</v>
      </c>
      <c r="DK7" s="10">
        <v>120351.47592899999</v>
      </c>
      <c r="DL7" s="10">
        <v>123609.143455</v>
      </c>
      <c r="DM7" s="10">
        <v>121176.707135</v>
      </c>
    </row>
    <row r="8" spans="1:117" s="3" customFormat="1" ht="18" customHeight="1" x14ac:dyDescent="0.3">
      <c r="B8" s="15" t="s">
        <v>5</v>
      </c>
      <c r="C8" s="9" t="s">
        <v>11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89422.257496999999</v>
      </c>
      <c r="AY8" s="10">
        <v>121228.440327</v>
      </c>
      <c r="AZ8" s="10">
        <v>97711.121207999997</v>
      </c>
      <c r="BA8" s="10">
        <v>94531.915808000005</v>
      </c>
      <c r="BB8" s="10">
        <v>87246.246064999999</v>
      </c>
      <c r="BC8" s="10">
        <v>69366.276782000001</v>
      </c>
      <c r="BD8" s="10">
        <v>79603.818568999995</v>
      </c>
      <c r="BE8" s="10">
        <v>86345.097110000002</v>
      </c>
      <c r="BF8" s="10">
        <v>92549.253970999998</v>
      </c>
      <c r="BG8" s="10">
        <v>86601.046151999995</v>
      </c>
      <c r="BH8" s="10">
        <v>83637.991454000003</v>
      </c>
      <c r="BI8" s="10">
        <v>93580.965119</v>
      </c>
      <c r="BJ8" s="10">
        <v>90736.694975999999</v>
      </c>
      <c r="BK8" s="10">
        <v>136575.552455</v>
      </c>
      <c r="BL8" s="10">
        <v>106766.066747</v>
      </c>
      <c r="BM8" s="10">
        <v>98933.820149000006</v>
      </c>
      <c r="BN8" s="10">
        <v>102509.701518</v>
      </c>
      <c r="BO8" s="10">
        <v>94205.120905999996</v>
      </c>
      <c r="BP8" s="10">
        <v>91954.350758999994</v>
      </c>
      <c r="BQ8" s="10">
        <v>103137.129713</v>
      </c>
      <c r="BR8" s="10">
        <v>120567.210399</v>
      </c>
      <c r="BS8" s="10">
        <v>108343.50689400001</v>
      </c>
      <c r="BT8" s="10">
        <v>104619.11356100001</v>
      </c>
      <c r="BU8" s="10">
        <v>116370.183701</v>
      </c>
      <c r="BV8" s="10">
        <v>110580.843005</v>
      </c>
      <c r="BW8" s="10">
        <v>159404.33063300001</v>
      </c>
      <c r="BX8" s="10">
        <v>124254.631196</v>
      </c>
      <c r="BY8" s="10">
        <v>120605.413124</v>
      </c>
      <c r="BZ8" s="10">
        <v>118195.699872</v>
      </c>
      <c r="CA8" s="10">
        <v>117754.144335</v>
      </c>
      <c r="CB8" s="10">
        <v>116733.393924</v>
      </c>
      <c r="CC8" s="10">
        <v>126365.316393</v>
      </c>
      <c r="CD8" s="10">
        <v>139283.805685</v>
      </c>
      <c r="CE8" s="10">
        <v>117883.964217</v>
      </c>
      <c r="CF8" s="10">
        <v>113580.462592</v>
      </c>
      <c r="CG8" s="10">
        <v>121525.963623</v>
      </c>
      <c r="CH8" s="10">
        <v>118974.99831</v>
      </c>
      <c r="CI8" s="10">
        <v>166785.960506</v>
      </c>
      <c r="CJ8" s="10">
        <v>135763.67118999999</v>
      </c>
      <c r="CK8" s="10">
        <v>122866.64894299999</v>
      </c>
      <c r="CL8" s="10">
        <v>124873.32506</v>
      </c>
      <c r="CM8" s="10">
        <v>125035.98849800001</v>
      </c>
      <c r="CN8" s="10">
        <v>114292.64109600001</v>
      </c>
      <c r="CO8" s="10">
        <v>124333.595313</v>
      </c>
      <c r="CP8" s="10">
        <v>145074.25494899999</v>
      </c>
      <c r="CQ8" s="10">
        <v>128708.932614</v>
      </c>
      <c r="CR8" s="10">
        <v>131286.23069500001</v>
      </c>
      <c r="CS8" s="10">
        <v>153065.39828600001</v>
      </c>
      <c r="CT8" s="10">
        <v>146802.057642</v>
      </c>
      <c r="CU8" s="10">
        <v>183067.063096</v>
      </c>
      <c r="CV8" s="10">
        <v>138989.08249599999</v>
      </c>
      <c r="CW8" s="10">
        <v>128981.189747</v>
      </c>
      <c r="CX8" s="10">
        <v>138369.25145899999</v>
      </c>
      <c r="CY8" s="10">
        <v>117207.528377</v>
      </c>
      <c r="CZ8" s="10">
        <v>127423.263419</v>
      </c>
      <c r="DA8" s="10">
        <v>137017.52094700001</v>
      </c>
      <c r="DB8" s="10">
        <v>144763.65584699999</v>
      </c>
      <c r="DC8" s="10">
        <v>129923.472635</v>
      </c>
      <c r="DD8" s="10">
        <v>121654.69177</v>
      </c>
      <c r="DE8" s="10">
        <v>125473.169609</v>
      </c>
      <c r="DF8" s="10">
        <v>122025.205438</v>
      </c>
      <c r="DG8" s="10">
        <v>154437.05824799999</v>
      </c>
      <c r="DH8" s="10">
        <v>106907.62716800001</v>
      </c>
      <c r="DI8" s="10">
        <v>96316.688452000002</v>
      </c>
      <c r="DJ8" s="10">
        <v>99665.622075000007</v>
      </c>
      <c r="DK8" s="10">
        <v>91636.732761000007</v>
      </c>
      <c r="DL8" s="10">
        <v>92279.507849000001</v>
      </c>
      <c r="DM8" s="10">
        <v>91143.377301</v>
      </c>
    </row>
    <row r="9" spans="1:117" s="3" customFormat="1" ht="18" customHeight="1" x14ac:dyDescent="0.3">
      <c r="B9" s="15" t="s">
        <v>5</v>
      </c>
      <c r="C9" s="9" t="s">
        <v>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8957.832531</v>
      </c>
      <c r="AY9" s="10">
        <v>11401.620808</v>
      </c>
      <c r="AZ9" s="10">
        <v>10533.222320000001</v>
      </c>
      <c r="BA9" s="10">
        <v>10834.706184000001</v>
      </c>
      <c r="BB9" s="10">
        <v>12531.71249</v>
      </c>
      <c r="BC9" s="10">
        <v>28540.187158000001</v>
      </c>
      <c r="BD9" s="10">
        <v>32693.133881000002</v>
      </c>
      <c r="BE9" s="10">
        <v>33267.278850000002</v>
      </c>
      <c r="BF9" s="10">
        <v>40361.132237999998</v>
      </c>
      <c r="BG9" s="10">
        <v>36040.705042000001</v>
      </c>
      <c r="BH9" s="10">
        <v>36474.394329000002</v>
      </c>
      <c r="BI9" s="10">
        <v>37865.717255000003</v>
      </c>
      <c r="BJ9" s="10">
        <v>35788.357816999996</v>
      </c>
      <c r="BK9" s="10">
        <v>45398.221009000001</v>
      </c>
      <c r="BL9" s="10">
        <v>40228.205403</v>
      </c>
      <c r="BM9" s="10">
        <v>38128.823510000002</v>
      </c>
      <c r="BN9" s="10">
        <v>41731.358414000002</v>
      </c>
      <c r="BO9" s="10">
        <v>41469.785022999997</v>
      </c>
      <c r="BP9" s="10">
        <v>43591.467729999997</v>
      </c>
      <c r="BQ9" s="10">
        <v>46438.047501000001</v>
      </c>
      <c r="BR9" s="10">
        <v>45284.126719</v>
      </c>
      <c r="BS9" s="10">
        <v>39081.798372999998</v>
      </c>
      <c r="BT9" s="10">
        <v>37436.843214</v>
      </c>
      <c r="BU9" s="10">
        <v>47187.00879</v>
      </c>
      <c r="BV9" s="10">
        <v>45328.204427999997</v>
      </c>
      <c r="BW9" s="10">
        <v>54870.944214000003</v>
      </c>
      <c r="BX9" s="10">
        <v>46504.141607999998</v>
      </c>
      <c r="BY9" s="10">
        <v>43139.19672</v>
      </c>
      <c r="BZ9" s="10">
        <v>42403.815744</v>
      </c>
      <c r="CA9" s="10">
        <v>40215.715476999998</v>
      </c>
      <c r="CB9" s="10">
        <v>41217.556768000002</v>
      </c>
      <c r="CC9" s="10">
        <v>43579.487866000003</v>
      </c>
      <c r="CD9" s="10">
        <v>41468.196738999999</v>
      </c>
      <c r="CE9" s="10">
        <v>33131.433374</v>
      </c>
      <c r="CF9" s="10">
        <v>31529.646665</v>
      </c>
      <c r="CG9" s="10">
        <v>31613.070989</v>
      </c>
      <c r="CH9" s="10">
        <v>31622.989108999998</v>
      </c>
      <c r="CI9" s="10">
        <v>37125.007319999997</v>
      </c>
      <c r="CJ9" s="10">
        <v>33988.282334000003</v>
      </c>
      <c r="CK9" s="10">
        <v>31117.321775</v>
      </c>
      <c r="CL9" s="10">
        <v>34138.379679999998</v>
      </c>
      <c r="CM9" s="10">
        <v>32618.941851</v>
      </c>
      <c r="CN9" s="10">
        <v>32020.133012999999</v>
      </c>
      <c r="CO9" s="10">
        <v>32942.857383000002</v>
      </c>
      <c r="CP9" s="10">
        <v>36776.836468000001</v>
      </c>
      <c r="CQ9" s="10">
        <v>33478.716291999997</v>
      </c>
      <c r="CR9" s="10">
        <v>31940.160253999999</v>
      </c>
      <c r="CS9" s="10">
        <v>34686.616236000002</v>
      </c>
      <c r="CT9" s="10">
        <v>34163.266898000002</v>
      </c>
      <c r="CU9" s="10">
        <v>34351.673128000002</v>
      </c>
      <c r="CV9" s="10">
        <v>27599.727501000001</v>
      </c>
      <c r="CW9" s="10">
        <v>26281.217334000001</v>
      </c>
      <c r="CX9" s="10">
        <v>27928.116245000001</v>
      </c>
      <c r="CY9" s="10">
        <v>26044.136225999999</v>
      </c>
      <c r="CZ9" s="10">
        <v>30796.385738000001</v>
      </c>
      <c r="DA9" s="10">
        <v>32502.549435000001</v>
      </c>
      <c r="DB9" s="10">
        <v>35633.058850000001</v>
      </c>
      <c r="DC9" s="10">
        <v>35104.151317999997</v>
      </c>
      <c r="DD9" s="10">
        <v>33002.514256000002</v>
      </c>
      <c r="DE9" s="10">
        <v>34447.754702999999</v>
      </c>
      <c r="DF9" s="10">
        <v>35079.816112</v>
      </c>
      <c r="DG9" s="10">
        <v>40318.076601000001</v>
      </c>
      <c r="DH9" s="10">
        <v>30983.508336999999</v>
      </c>
      <c r="DI9" s="10">
        <v>30017.154310999998</v>
      </c>
      <c r="DJ9" s="10">
        <v>31076.163686</v>
      </c>
      <c r="DK9" s="10">
        <v>28714.743168000001</v>
      </c>
      <c r="DL9" s="10">
        <v>31329.635606</v>
      </c>
      <c r="DM9" s="10">
        <v>30033.329834</v>
      </c>
    </row>
    <row r="10" spans="1:117" s="3" customFormat="1" ht="18" customHeight="1" x14ac:dyDescent="0.3">
      <c r="B10" s="9" t="s">
        <v>6</v>
      </c>
      <c r="C10" s="9" t="s">
        <v>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260.22602999999998</v>
      </c>
      <c r="Q10" s="10">
        <v>254.67149499999999</v>
      </c>
      <c r="R10" s="10">
        <v>1450.0667410000001</v>
      </c>
      <c r="S10" s="10">
        <v>1225.024946</v>
      </c>
      <c r="T10" s="10">
        <v>1345.3428530000001</v>
      </c>
      <c r="U10" s="10">
        <v>1224.184338</v>
      </c>
      <c r="V10" s="10">
        <v>1962.3995640000001</v>
      </c>
      <c r="W10" s="10">
        <v>1873.8252279999999</v>
      </c>
      <c r="X10" s="10">
        <v>1861.26161</v>
      </c>
      <c r="Y10" s="10">
        <v>2343.8334060000002</v>
      </c>
      <c r="Z10" s="10">
        <v>1780.310039</v>
      </c>
      <c r="AA10" s="10">
        <v>2076.6071550000001</v>
      </c>
      <c r="AB10" s="10">
        <v>2309.283324</v>
      </c>
      <c r="AC10" s="10">
        <v>1435.478558</v>
      </c>
      <c r="AD10" s="10">
        <v>1790.685786</v>
      </c>
      <c r="AE10" s="10">
        <v>1896.921186</v>
      </c>
      <c r="AF10" s="10">
        <v>2207.1855030000002</v>
      </c>
      <c r="AG10" s="10">
        <v>1613.412779</v>
      </c>
      <c r="AH10" s="10">
        <v>2377.8330569999998</v>
      </c>
      <c r="AI10" s="10">
        <v>2055.435109</v>
      </c>
      <c r="AJ10" s="10">
        <v>2268.6112290000001</v>
      </c>
      <c r="AK10" s="10">
        <v>2670.7857530000001</v>
      </c>
      <c r="AL10" s="10">
        <v>2269.3541230000001</v>
      </c>
      <c r="AM10" s="10">
        <v>2592.2309300000002</v>
      </c>
      <c r="AN10" s="10">
        <v>2596.3403269999999</v>
      </c>
      <c r="AO10" s="10">
        <v>2226.7484410000002</v>
      </c>
      <c r="AP10" s="10">
        <v>2023.116606</v>
      </c>
      <c r="AQ10" s="10">
        <v>2622.9953019999998</v>
      </c>
      <c r="AR10" s="10">
        <v>2605.7328640000001</v>
      </c>
      <c r="AS10" s="10">
        <v>2486.3547830000002</v>
      </c>
      <c r="AT10" s="10">
        <v>2888.4989099999998</v>
      </c>
      <c r="AU10" s="10">
        <v>3192.2818240000001</v>
      </c>
      <c r="AV10" s="10">
        <v>2524.201595</v>
      </c>
      <c r="AW10" s="10">
        <v>2944.9049660000001</v>
      </c>
      <c r="AX10" s="10">
        <v>2805.5563649999999</v>
      </c>
      <c r="AY10" s="10">
        <v>4280.2048269999996</v>
      </c>
      <c r="AZ10" s="10">
        <v>2615.692067</v>
      </c>
      <c r="BA10" s="10">
        <v>5961.3282790000003</v>
      </c>
      <c r="BB10" s="10">
        <v>8200.7418890000008</v>
      </c>
      <c r="BC10" s="10">
        <v>9407.8208589999995</v>
      </c>
      <c r="BD10" s="10">
        <v>9578.353889</v>
      </c>
      <c r="BE10" s="10">
        <v>7625.0092299999997</v>
      </c>
      <c r="BF10" s="10">
        <v>6485.9133949999996</v>
      </c>
      <c r="BG10" s="10">
        <v>6082.952319</v>
      </c>
      <c r="BH10" s="10">
        <v>5250.2356630000004</v>
      </c>
      <c r="BI10" s="10">
        <v>4354.8908099999999</v>
      </c>
      <c r="BJ10" s="10">
        <v>5291.4575580000001</v>
      </c>
      <c r="BK10" s="10">
        <v>8185.6743660000002</v>
      </c>
      <c r="BL10" s="10">
        <v>8236.1650009999994</v>
      </c>
      <c r="BM10" s="10">
        <v>9914.5273909999996</v>
      </c>
      <c r="BN10" s="10">
        <v>9812.6659130000007</v>
      </c>
      <c r="BO10" s="10">
        <v>9007.4236889999993</v>
      </c>
      <c r="BP10" s="10">
        <v>9371.5883319999994</v>
      </c>
      <c r="BQ10" s="10">
        <v>10013.261802000001</v>
      </c>
      <c r="BR10" s="10">
        <v>9743.9088250000004</v>
      </c>
      <c r="BS10" s="10">
        <v>11226.229772999999</v>
      </c>
      <c r="BT10" s="10">
        <v>11411.528186</v>
      </c>
      <c r="BU10" s="10">
        <v>10938.941414999999</v>
      </c>
      <c r="BV10" s="10">
        <v>9406.1995320000005</v>
      </c>
      <c r="BW10" s="10">
        <v>9480.1990949999999</v>
      </c>
      <c r="BX10" s="10">
        <v>12250.583703</v>
      </c>
      <c r="BY10" s="10">
        <v>11233.247010999999</v>
      </c>
      <c r="BZ10" s="10">
        <v>10571.637245</v>
      </c>
      <c r="CA10" s="10">
        <v>9831.2460329999994</v>
      </c>
      <c r="CB10" s="10">
        <v>9204.7295300000005</v>
      </c>
      <c r="CC10" s="10">
        <v>8728.033942</v>
      </c>
      <c r="CD10" s="10">
        <v>10862.77651</v>
      </c>
      <c r="CE10" s="10">
        <v>10276.601154</v>
      </c>
      <c r="CF10" s="10">
        <v>9561.1079030000001</v>
      </c>
      <c r="CG10" s="10">
        <v>12341.272233</v>
      </c>
      <c r="CH10" s="10">
        <v>12616.968821</v>
      </c>
      <c r="CI10" s="10">
        <v>11440.539140999999</v>
      </c>
      <c r="CJ10" s="10">
        <v>12287.528607</v>
      </c>
      <c r="CK10" s="10">
        <v>10839.522256</v>
      </c>
      <c r="CL10" s="10">
        <v>10769.034395999999</v>
      </c>
      <c r="CM10" s="10">
        <v>12169.686157</v>
      </c>
      <c r="CN10" s="10">
        <v>11664.335088</v>
      </c>
      <c r="CO10" s="10">
        <v>13197.849366</v>
      </c>
      <c r="CP10" s="10">
        <v>15573.01196</v>
      </c>
      <c r="CQ10" s="10">
        <v>13852.021318999999</v>
      </c>
      <c r="CR10" s="10">
        <v>12735.20448</v>
      </c>
      <c r="CS10" s="10">
        <v>17454.855091000001</v>
      </c>
      <c r="CT10" s="10">
        <v>14985.624185999999</v>
      </c>
      <c r="CU10" s="10">
        <v>12771.635561999999</v>
      </c>
      <c r="CV10" s="10">
        <v>14428.524003</v>
      </c>
      <c r="CW10" s="10">
        <v>14299.778219</v>
      </c>
      <c r="CX10" s="10">
        <v>13703.408498999999</v>
      </c>
      <c r="CY10" s="10">
        <v>13006.713739999999</v>
      </c>
      <c r="CZ10" s="10">
        <v>16135.172193</v>
      </c>
      <c r="DA10" s="10">
        <v>13542.276873000001</v>
      </c>
      <c r="DB10" s="10">
        <v>15351.853259</v>
      </c>
      <c r="DC10" s="10">
        <v>12502.659428000001</v>
      </c>
      <c r="DD10" s="10">
        <v>20888.802776</v>
      </c>
      <c r="DE10" s="10">
        <v>16368.633264</v>
      </c>
      <c r="DF10" s="10">
        <v>14680.205571</v>
      </c>
      <c r="DG10" s="10">
        <v>21093.187511</v>
      </c>
      <c r="DH10" s="10">
        <v>17434.786909999999</v>
      </c>
      <c r="DI10" s="10">
        <v>15865.378584</v>
      </c>
      <c r="DJ10" s="10">
        <v>16874.945330999999</v>
      </c>
      <c r="DK10" s="10">
        <v>15386.628526</v>
      </c>
      <c r="DL10" s="10">
        <v>17177.040106</v>
      </c>
      <c r="DM10" s="10">
        <v>15875.402405000001</v>
      </c>
    </row>
    <row r="11" spans="1:117" s="3" customFormat="1" ht="18" customHeight="1" x14ac:dyDescent="0.3">
      <c r="B11" s="9" t="s">
        <v>13</v>
      </c>
      <c r="C11" s="9" t="s">
        <v>1</v>
      </c>
      <c r="D11" s="10">
        <v>102934.510089</v>
      </c>
      <c r="E11" s="10">
        <v>100617.097135</v>
      </c>
      <c r="F11" s="10">
        <v>122149.23061699999</v>
      </c>
      <c r="G11" s="10">
        <v>118995.920428</v>
      </c>
      <c r="H11" s="10">
        <v>121980.594321</v>
      </c>
      <c r="I11" s="10">
        <v>129220.38727000001</v>
      </c>
      <c r="J11" s="10">
        <v>141367.62135999999</v>
      </c>
      <c r="K11" s="10">
        <v>139419.57527100001</v>
      </c>
      <c r="L11" s="10">
        <v>143381.570568</v>
      </c>
      <c r="M11" s="10">
        <v>143847.294956</v>
      </c>
      <c r="N11" s="10">
        <v>150380.04863</v>
      </c>
      <c r="O11" s="10">
        <v>190829.94365599999</v>
      </c>
      <c r="P11" s="10">
        <v>169661.933903</v>
      </c>
      <c r="Q11" s="10">
        <v>149731.312343</v>
      </c>
      <c r="R11" s="10">
        <v>179857.223941</v>
      </c>
      <c r="S11" s="10">
        <v>167276.11772000001</v>
      </c>
      <c r="T11" s="10">
        <v>180530.013477</v>
      </c>
      <c r="U11" s="10">
        <v>193376.524423</v>
      </c>
      <c r="V11" s="10">
        <v>207050.030081</v>
      </c>
      <c r="W11" s="10">
        <v>211543.74607200001</v>
      </c>
      <c r="X11" s="10">
        <v>207822.32834599999</v>
      </c>
      <c r="Y11" s="10">
        <v>213655.825403</v>
      </c>
      <c r="Z11" s="10">
        <v>214720.920293</v>
      </c>
      <c r="AA11" s="10">
        <v>247167.195852</v>
      </c>
      <c r="AB11" s="10">
        <v>226945.12676799999</v>
      </c>
      <c r="AC11" s="10">
        <v>198794.20767800001</v>
      </c>
      <c r="AD11" s="10">
        <v>228712.48623499999</v>
      </c>
      <c r="AE11" s="10">
        <v>218818.134223</v>
      </c>
      <c r="AF11" s="10">
        <v>247010.04044000001</v>
      </c>
      <c r="AG11" s="10">
        <v>243080.253494</v>
      </c>
      <c r="AH11" s="10">
        <v>250206.98387699999</v>
      </c>
      <c r="AI11" s="10">
        <v>245539.58360799999</v>
      </c>
      <c r="AJ11" s="10">
        <v>230703.18414100001</v>
      </c>
      <c r="AK11" s="10">
        <v>225420.63480999999</v>
      </c>
      <c r="AL11" s="10">
        <v>221466.31214600001</v>
      </c>
      <c r="AM11" s="10">
        <v>248681.61642000001</v>
      </c>
      <c r="AN11" s="10">
        <v>234953.98713600001</v>
      </c>
      <c r="AO11" s="10">
        <v>221457.399905</v>
      </c>
      <c r="AP11" s="10">
        <v>234738.98060899999</v>
      </c>
      <c r="AQ11" s="10">
        <v>229868.49677299999</v>
      </c>
      <c r="AR11" s="10">
        <v>250476.34883199999</v>
      </c>
      <c r="AS11" s="10">
        <v>247147.93669999999</v>
      </c>
      <c r="AT11" s="10">
        <v>266900.46568000002</v>
      </c>
      <c r="AU11" s="10">
        <v>279525.08635699999</v>
      </c>
      <c r="AV11" s="10">
        <v>273279.92068099999</v>
      </c>
      <c r="AW11" s="10">
        <v>330524.54534999997</v>
      </c>
      <c r="AX11" s="10">
        <v>251554.34936600001</v>
      </c>
      <c r="AY11" s="10">
        <v>291239.00144299999</v>
      </c>
      <c r="AZ11" s="10">
        <v>261548.34794899999</v>
      </c>
      <c r="BA11" s="10">
        <v>241591.88003599999</v>
      </c>
      <c r="BB11" s="10">
        <v>250561.86904300001</v>
      </c>
      <c r="BC11" s="10">
        <v>321670.913489</v>
      </c>
      <c r="BD11" s="10">
        <v>366065.70332799997</v>
      </c>
      <c r="BE11" s="10">
        <v>389020.22431199998</v>
      </c>
      <c r="BF11" s="10">
        <v>420685.05103700003</v>
      </c>
      <c r="BG11" s="10">
        <v>401600.27619599999</v>
      </c>
      <c r="BH11" s="10">
        <v>413246.80955900002</v>
      </c>
      <c r="BI11" s="10">
        <v>450934.47406899999</v>
      </c>
      <c r="BJ11" s="10">
        <v>396608.040905</v>
      </c>
      <c r="BK11" s="10">
        <v>456771.49342100002</v>
      </c>
      <c r="BL11" s="10">
        <v>400532.43164099997</v>
      </c>
      <c r="BM11" s="10">
        <v>370667.756788</v>
      </c>
      <c r="BN11" s="10">
        <v>424367.76757000003</v>
      </c>
      <c r="BO11" s="10">
        <v>408554.12220899999</v>
      </c>
      <c r="BP11" s="10">
        <v>408001.53323300002</v>
      </c>
      <c r="BQ11" s="10">
        <v>437256.32939600002</v>
      </c>
      <c r="BR11" s="10">
        <v>469382.55261000001</v>
      </c>
      <c r="BS11" s="10">
        <v>457942.14490900002</v>
      </c>
      <c r="BT11" s="10">
        <v>472222.39831800002</v>
      </c>
      <c r="BU11" s="10">
        <v>481307.51148099999</v>
      </c>
      <c r="BV11" s="10">
        <v>502893.842588</v>
      </c>
      <c r="BW11" s="10">
        <v>562539.38873899996</v>
      </c>
      <c r="BX11" s="10">
        <v>464511.70805999998</v>
      </c>
      <c r="BY11" s="10">
        <v>443574.536364</v>
      </c>
      <c r="BZ11" s="10">
        <v>493433.027947</v>
      </c>
      <c r="CA11" s="10">
        <v>481643.17899500002</v>
      </c>
      <c r="CB11" s="10">
        <v>495729.78169899998</v>
      </c>
      <c r="CC11" s="10">
        <v>524268.72096100001</v>
      </c>
      <c r="CD11" s="10">
        <v>560555.45733500004</v>
      </c>
      <c r="CE11" s="10">
        <v>531693.44496899995</v>
      </c>
      <c r="CF11" s="10">
        <v>525499.19818599999</v>
      </c>
      <c r="CG11" s="10">
        <v>500204.12938400003</v>
      </c>
      <c r="CH11" s="10">
        <v>510172.59606499999</v>
      </c>
      <c r="CI11" s="10">
        <v>597066.71895000001</v>
      </c>
      <c r="CJ11" s="10">
        <v>517926.12714900001</v>
      </c>
      <c r="CK11" s="10">
        <v>464497.37960500002</v>
      </c>
      <c r="CL11" s="10">
        <v>546915.40820599999</v>
      </c>
      <c r="CM11" s="10">
        <v>522986.47252000001</v>
      </c>
      <c r="CN11" s="10">
        <v>535268.22621200001</v>
      </c>
      <c r="CO11" s="10">
        <v>571377.14534000005</v>
      </c>
      <c r="CP11" s="10">
        <v>598912.28159999999</v>
      </c>
      <c r="CQ11" s="10">
        <v>619976.377676</v>
      </c>
      <c r="CR11" s="10">
        <v>592616.15505599999</v>
      </c>
      <c r="CS11" s="10">
        <v>689793.91226400004</v>
      </c>
      <c r="CT11" s="10">
        <v>617508.13706600002</v>
      </c>
      <c r="CU11" s="10">
        <v>613965.43197399995</v>
      </c>
      <c r="CV11" s="10">
        <v>493116.94913000002</v>
      </c>
      <c r="CW11" s="10">
        <v>460156.486187</v>
      </c>
      <c r="CX11" s="10">
        <v>488912.56402799999</v>
      </c>
      <c r="CY11" s="10">
        <v>525677.94233200001</v>
      </c>
      <c r="CZ11" s="10">
        <v>770168.87011999998</v>
      </c>
      <c r="DA11" s="10">
        <v>795550.57217199996</v>
      </c>
      <c r="DB11" s="10">
        <v>908717.70958799997</v>
      </c>
      <c r="DC11" s="10">
        <v>895881.39285499998</v>
      </c>
      <c r="DD11" s="10">
        <v>870488.40085600002</v>
      </c>
      <c r="DE11" s="10">
        <v>794344.39363399998</v>
      </c>
      <c r="DF11" s="10">
        <v>719074.77170899999</v>
      </c>
      <c r="DG11" s="10">
        <v>681613.45075900003</v>
      </c>
      <c r="DH11" s="10">
        <v>620010.07379199995</v>
      </c>
      <c r="DI11" s="10">
        <v>583332.44237099995</v>
      </c>
      <c r="DJ11" s="10">
        <v>593964.27326100005</v>
      </c>
      <c r="DK11" s="10">
        <v>525867.15114700003</v>
      </c>
      <c r="DL11" s="10">
        <v>528684.17599799996</v>
      </c>
      <c r="DM11" s="10">
        <v>545456.55986000004</v>
      </c>
    </row>
    <row r="12" spans="1:117" s="3" customFormat="1" ht="18" customHeight="1" x14ac:dyDescent="0.3">
      <c r="B12" s="15" t="s">
        <v>13</v>
      </c>
      <c r="C12" s="9" t="s">
        <v>0</v>
      </c>
      <c r="D12" s="10">
        <v>16630.762494999999</v>
      </c>
      <c r="E12" s="10">
        <v>15773.13883</v>
      </c>
      <c r="F12" s="10">
        <v>18723.822970000001</v>
      </c>
      <c r="G12" s="10">
        <v>18109.721968999998</v>
      </c>
      <c r="H12" s="10">
        <v>18160.980017000002</v>
      </c>
      <c r="I12" s="10">
        <v>19043.645483</v>
      </c>
      <c r="J12" s="10">
        <v>21928.559577</v>
      </c>
      <c r="K12" s="10">
        <v>20731.829626999999</v>
      </c>
      <c r="L12" s="10">
        <v>21309.320593</v>
      </c>
      <c r="M12" s="10">
        <v>21950.983811999999</v>
      </c>
      <c r="N12" s="10">
        <v>23038.830536000001</v>
      </c>
      <c r="O12" s="10">
        <v>28253.571215</v>
      </c>
      <c r="P12" s="10">
        <v>24993.470613000001</v>
      </c>
      <c r="Q12" s="10">
        <v>22814.221679999999</v>
      </c>
      <c r="R12" s="10">
        <v>25331.304703000002</v>
      </c>
      <c r="S12" s="10">
        <v>23409.423853</v>
      </c>
      <c r="T12" s="10">
        <v>24566.786494</v>
      </c>
      <c r="U12" s="10">
        <v>25731.056203</v>
      </c>
      <c r="V12" s="10">
        <v>28807.428935</v>
      </c>
      <c r="W12" s="10">
        <v>28733.172019000001</v>
      </c>
      <c r="X12" s="10">
        <v>28119.499269</v>
      </c>
      <c r="Y12" s="10">
        <v>28347.671511</v>
      </c>
      <c r="Z12" s="10">
        <v>28961.609439</v>
      </c>
      <c r="AA12" s="10">
        <v>33663.442345000003</v>
      </c>
      <c r="AB12" s="10">
        <v>30122.415926999998</v>
      </c>
      <c r="AC12" s="10">
        <v>27231.288208000002</v>
      </c>
      <c r="AD12" s="10">
        <v>30730.43043</v>
      </c>
      <c r="AE12" s="10">
        <v>28460.210727999998</v>
      </c>
      <c r="AF12" s="10">
        <v>29945.878417</v>
      </c>
      <c r="AG12" s="10">
        <v>29330.088599999999</v>
      </c>
      <c r="AH12" s="10">
        <v>29844.051081000001</v>
      </c>
      <c r="AI12" s="10">
        <v>28631.354388</v>
      </c>
      <c r="AJ12" s="10">
        <v>26471.364264</v>
      </c>
      <c r="AK12" s="10">
        <v>25040.904291999999</v>
      </c>
      <c r="AL12" s="10">
        <v>24825.068960000001</v>
      </c>
      <c r="AM12" s="10">
        <v>28428.045151999999</v>
      </c>
      <c r="AN12" s="10">
        <v>25333.667775999998</v>
      </c>
      <c r="AO12" s="10">
        <v>23873.585942999998</v>
      </c>
      <c r="AP12" s="10">
        <v>25474.766084999999</v>
      </c>
      <c r="AQ12" s="10">
        <v>23299.761922000002</v>
      </c>
      <c r="AR12" s="10">
        <v>25680.943788</v>
      </c>
      <c r="AS12" s="10">
        <v>26465.502713000002</v>
      </c>
      <c r="AT12" s="10">
        <v>28257.957272</v>
      </c>
      <c r="AU12" s="10">
        <v>28444.781870999999</v>
      </c>
      <c r="AV12" s="10">
        <v>26371.873090000001</v>
      </c>
      <c r="AW12" s="10">
        <v>30139.653851999999</v>
      </c>
      <c r="AX12" s="10">
        <v>24739.252292000001</v>
      </c>
      <c r="AY12" s="10">
        <v>29475.561093</v>
      </c>
      <c r="AZ12" s="10">
        <v>25347.322987</v>
      </c>
      <c r="BA12" s="10">
        <v>23899.941867000001</v>
      </c>
      <c r="BB12" s="10">
        <v>22806.675196</v>
      </c>
      <c r="BC12" s="10">
        <v>30443.841353</v>
      </c>
      <c r="BD12" s="10">
        <v>36755.415918999999</v>
      </c>
      <c r="BE12" s="10">
        <v>35942.815858000002</v>
      </c>
      <c r="BF12" s="10">
        <v>38300.316561</v>
      </c>
      <c r="BG12" s="10">
        <v>34940.626768000002</v>
      </c>
      <c r="BH12" s="10">
        <v>34789.809241000003</v>
      </c>
      <c r="BI12" s="10">
        <v>35652.520377000001</v>
      </c>
      <c r="BJ12" s="10">
        <v>29672.740720999998</v>
      </c>
      <c r="BK12" s="10">
        <v>33873.043334000002</v>
      </c>
      <c r="BL12" s="10">
        <v>28641.634289000001</v>
      </c>
      <c r="BM12" s="10">
        <v>25724.789438</v>
      </c>
      <c r="BN12" s="10">
        <v>27891.675223999999</v>
      </c>
      <c r="BO12" s="10">
        <v>25907.333304</v>
      </c>
      <c r="BP12" s="10">
        <v>25143.07692</v>
      </c>
      <c r="BQ12" s="10">
        <v>26408.053210999999</v>
      </c>
      <c r="BR12" s="10">
        <v>28230.855477000001</v>
      </c>
      <c r="BS12" s="10">
        <v>25367.702192000001</v>
      </c>
      <c r="BT12" s="10">
        <v>25283.173567000002</v>
      </c>
      <c r="BU12" s="10">
        <v>25292.885694000001</v>
      </c>
      <c r="BV12" s="10">
        <v>24121.00244</v>
      </c>
      <c r="BW12" s="10">
        <v>27664.980875000001</v>
      </c>
      <c r="BX12" s="10">
        <v>20872.858315000001</v>
      </c>
      <c r="BY12" s="10">
        <v>20469.096911000001</v>
      </c>
      <c r="BZ12" s="10">
        <v>20928.803372999999</v>
      </c>
      <c r="CA12" s="10">
        <v>20106.515510000001</v>
      </c>
      <c r="CB12" s="10">
        <v>19439.863333000001</v>
      </c>
      <c r="CC12" s="10">
        <v>20286.540368000002</v>
      </c>
      <c r="CD12" s="10">
        <v>21222.917973</v>
      </c>
      <c r="CE12" s="10">
        <v>18700.011418999999</v>
      </c>
      <c r="CF12" s="10">
        <v>18177.094286</v>
      </c>
      <c r="CG12" s="10">
        <v>16706.122115999999</v>
      </c>
      <c r="CH12" s="10">
        <v>16896.237510999999</v>
      </c>
      <c r="CI12" s="10">
        <v>20369.621373999998</v>
      </c>
      <c r="CJ12" s="10">
        <v>16321.374739000001</v>
      </c>
      <c r="CK12" s="10">
        <v>14540.859349</v>
      </c>
      <c r="CL12" s="10">
        <v>16683.322949000001</v>
      </c>
      <c r="CM12" s="10">
        <v>15875.627106</v>
      </c>
      <c r="CN12" s="10">
        <v>14859.747355</v>
      </c>
      <c r="CO12" s="10">
        <v>16042.515807</v>
      </c>
      <c r="CP12" s="10">
        <v>16565.167316999999</v>
      </c>
      <c r="CQ12" s="10">
        <v>15788.790403000001</v>
      </c>
      <c r="CR12" s="10">
        <v>14667.817358</v>
      </c>
      <c r="CS12" s="10">
        <v>15135.394163999999</v>
      </c>
      <c r="CT12" s="10">
        <v>11940.373807</v>
      </c>
      <c r="CU12" s="10">
        <v>13321.065941999999</v>
      </c>
      <c r="CV12" s="10">
        <v>9642.632055</v>
      </c>
      <c r="CW12" s="10">
        <v>8461.0642019999996</v>
      </c>
      <c r="CX12" s="10">
        <v>9472.5785840000008</v>
      </c>
      <c r="CY12" s="10">
        <v>8338.8768400000008</v>
      </c>
      <c r="CZ12" s="10">
        <v>9571.4644970000008</v>
      </c>
      <c r="DA12" s="10">
        <v>10733.55097</v>
      </c>
      <c r="DB12" s="10">
        <v>10703.379953</v>
      </c>
      <c r="DC12" s="10">
        <v>10272.01124</v>
      </c>
      <c r="DD12" s="10">
        <v>9261.7943109999997</v>
      </c>
      <c r="DE12" s="10">
        <v>9785.7918410000002</v>
      </c>
      <c r="DF12" s="10">
        <v>9658.9171040000001</v>
      </c>
      <c r="DG12" s="10">
        <v>11312.416950000001</v>
      </c>
      <c r="DH12" s="10">
        <v>8924.6242349999993</v>
      </c>
      <c r="DI12" s="10">
        <v>8475.9275679999992</v>
      </c>
      <c r="DJ12" s="10">
        <v>9018.1259719999998</v>
      </c>
      <c r="DK12" s="10">
        <v>8653.6546930000004</v>
      </c>
      <c r="DL12" s="10">
        <v>8954.0145530000009</v>
      </c>
      <c r="DM12" s="10">
        <v>9339.5320539999993</v>
      </c>
    </row>
    <row r="13" spans="1:117" s="3" customFormat="1" ht="18" customHeight="1" x14ac:dyDescent="0.3">
      <c r="B13" s="15" t="s">
        <v>13</v>
      </c>
      <c r="C13" s="9" t="s">
        <v>7</v>
      </c>
      <c r="D13" s="10">
        <v>83465.251850999994</v>
      </c>
      <c r="E13" s="10">
        <v>82431.210193000006</v>
      </c>
      <c r="F13" s="10">
        <v>100487.237094</v>
      </c>
      <c r="G13" s="10">
        <v>97786.213873999994</v>
      </c>
      <c r="H13" s="10">
        <v>100996.084609</v>
      </c>
      <c r="I13" s="10">
        <v>106842.72902300001</v>
      </c>
      <c r="J13" s="10">
        <v>114822.167543</v>
      </c>
      <c r="K13" s="10">
        <v>114802.35746100001</v>
      </c>
      <c r="L13" s="10">
        <v>117679.414597</v>
      </c>
      <c r="M13" s="10">
        <v>117182.779945</v>
      </c>
      <c r="N13" s="10">
        <v>122572.511237</v>
      </c>
      <c r="O13" s="10">
        <v>155279.34077899999</v>
      </c>
      <c r="P13" s="10">
        <v>138072.957318</v>
      </c>
      <c r="Q13" s="10">
        <v>120266.91338500001</v>
      </c>
      <c r="R13" s="10">
        <v>148185.077341</v>
      </c>
      <c r="S13" s="10">
        <v>136896.84344999999</v>
      </c>
      <c r="T13" s="10">
        <v>149481.036268</v>
      </c>
      <c r="U13" s="10">
        <v>159950.662254</v>
      </c>
      <c r="V13" s="10">
        <v>169118.04537800001</v>
      </c>
      <c r="W13" s="10">
        <v>174239.99015999999</v>
      </c>
      <c r="X13" s="10">
        <v>170611.296283</v>
      </c>
      <c r="Y13" s="10">
        <v>176335.74000399999</v>
      </c>
      <c r="Z13" s="10">
        <v>176376.92907899999</v>
      </c>
      <c r="AA13" s="10">
        <v>200267.766298</v>
      </c>
      <c r="AB13" s="10">
        <v>185217.18212300001</v>
      </c>
      <c r="AC13" s="10">
        <v>160398.84058700001</v>
      </c>
      <c r="AD13" s="10">
        <v>185413.89209000001</v>
      </c>
      <c r="AE13" s="10">
        <v>178455.16834500001</v>
      </c>
      <c r="AF13" s="10">
        <v>204629.52952099999</v>
      </c>
      <c r="AG13" s="10">
        <v>200166.233007</v>
      </c>
      <c r="AH13" s="10">
        <v>206484.02670399999</v>
      </c>
      <c r="AI13" s="10">
        <v>203569.132166</v>
      </c>
      <c r="AJ13" s="10">
        <v>190631.92406700001</v>
      </c>
      <c r="AK13" s="10">
        <v>188232.22457399999</v>
      </c>
      <c r="AL13" s="10">
        <v>183341.44077700001</v>
      </c>
      <c r="AM13" s="10">
        <v>203589.682722</v>
      </c>
      <c r="AN13" s="10">
        <v>194786.707302</v>
      </c>
      <c r="AO13" s="10">
        <v>182393.13109899999</v>
      </c>
      <c r="AP13" s="10">
        <v>192582.96824700001</v>
      </c>
      <c r="AQ13" s="10">
        <v>192149.26748800001</v>
      </c>
      <c r="AR13" s="10">
        <v>208791.15773000001</v>
      </c>
      <c r="AS13" s="10">
        <v>202754.73580600001</v>
      </c>
      <c r="AT13" s="10">
        <v>220804.947002</v>
      </c>
      <c r="AU13" s="10">
        <v>231494.85447600001</v>
      </c>
      <c r="AV13" s="10">
        <v>227918.67027100001</v>
      </c>
      <c r="AW13" s="10">
        <v>277134.64960900001</v>
      </c>
      <c r="AX13" s="10">
        <v>208188.54909499999</v>
      </c>
      <c r="AY13" s="10">
        <v>238262.83266700001</v>
      </c>
      <c r="AZ13" s="10">
        <v>215645.60698700001</v>
      </c>
      <c r="BA13" s="10">
        <v>196491.87591599999</v>
      </c>
      <c r="BB13" s="10">
        <v>206049.53792599999</v>
      </c>
      <c r="BC13" s="10">
        <v>265004.35501200001</v>
      </c>
      <c r="BD13" s="10">
        <v>293801.80999199999</v>
      </c>
      <c r="BE13" s="10">
        <v>313143.45087300002</v>
      </c>
      <c r="BF13" s="10">
        <v>335356.95605500002</v>
      </c>
      <c r="BG13" s="10">
        <v>322661.49939000001</v>
      </c>
      <c r="BH13" s="10">
        <v>330419.43957400002</v>
      </c>
      <c r="BI13" s="10">
        <v>364373.55346899998</v>
      </c>
      <c r="BJ13" s="10">
        <v>321084.323921</v>
      </c>
      <c r="BK13" s="10">
        <v>365967.75087599998</v>
      </c>
      <c r="BL13" s="10">
        <v>321609.34469300002</v>
      </c>
      <c r="BM13" s="10">
        <v>295670.326451</v>
      </c>
      <c r="BN13" s="10">
        <v>343819.16032700002</v>
      </c>
      <c r="BO13" s="10">
        <v>331414.44152300002</v>
      </c>
      <c r="BP13" s="10">
        <v>328179.36518899997</v>
      </c>
      <c r="BQ13" s="10">
        <v>350422.99126600003</v>
      </c>
      <c r="BR13" s="10">
        <v>372205.84073200001</v>
      </c>
      <c r="BS13" s="10">
        <v>366765.65852300002</v>
      </c>
      <c r="BT13" s="10">
        <v>378481.15048100002</v>
      </c>
      <c r="BU13" s="10">
        <v>381539.06703500001</v>
      </c>
      <c r="BV13" s="10">
        <v>401912.97117799998</v>
      </c>
      <c r="BW13" s="10">
        <v>439875.98926200002</v>
      </c>
      <c r="BX13" s="10">
        <v>365522.694387</v>
      </c>
      <c r="BY13" s="10">
        <v>343746.421921</v>
      </c>
      <c r="BZ13" s="10">
        <v>384941.29586499999</v>
      </c>
      <c r="CA13" s="10">
        <v>371044.10641900002</v>
      </c>
      <c r="CB13" s="10">
        <v>382243.19198</v>
      </c>
      <c r="CC13" s="10">
        <v>399258.48883599997</v>
      </c>
      <c r="CD13" s="10">
        <v>420238.51501199999</v>
      </c>
      <c r="CE13" s="10">
        <v>402447.34502499999</v>
      </c>
      <c r="CF13" s="10">
        <v>395600.52159399999</v>
      </c>
      <c r="CG13" s="10">
        <v>371763.05566800002</v>
      </c>
      <c r="CH13" s="10">
        <v>376658.12575299997</v>
      </c>
      <c r="CI13" s="10">
        <v>429584.69470300002</v>
      </c>
      <c r="CJ13" s="10">
        <v>374962.71453100001</v>
      </c>
      <c r="CK13" s="10">
        <v>333390.53720600001</v>
      </c>
      <c r="CL13" s="10">
        <v>397282.64618500002</v>
      </c>
      <c r="CM13" s="10">
        <v>375357.20394099999</v>
      </c>
      <c r="CN13" s="10">
        <v>392951.99402500002</v>
      </c>
      <c r="CO13" s="10">
        <v>414411.59327999997</v>
      </c>
      <c r="CP13" s="10">
        <v>426006.94611899997</v>
      </c>
      <c r="CQ13" s="10">
        <v>450761.08239400003</v>
      </c>
      <c r="CR13" s="10">
        <v>426241.43701200001</v>
      </c>
      <c r="CS13" s="10">
        <v>503869.54330100003</v>
      </c>
      <c r="CT13" s="10">
        <v>444646.55469700001</v>
      </c>
      <c r="CU13" s="10">
        <v>430888.94679299998</v>
      </c>
      <c r="CV13" s="10">
        <v>355529.89020299999</v>
      </c>
      <c r="CW13" s="10">
        <v>329158.71081299998</v>
      </c>
      <c r="CX13" s="10">
        <v>341985.715769</v>
      </c>
      <c r="CY13" s="10">
        <v>381290.35690100002</v>
      </c>
      <c r="CZ13" s="10">
        <v>492790.96658299997</v>
      </c>
      <c r="DA13" s="10">
        <v>397706.40133399999</v>
      </c>
      <c r="DB13" s="10">
        <v>394025.321261</v>
      </c>
      <c r="DC13" s="10">
        <v>377268.08588099998</v>
      </c>
      <c r="DD13" s="10">
        <v>357851.41312300001</v>
      </c>
      <c r="DE13" s="10">
        <v>391164.87958499999</v>
      </c>
      <c r="DF13" s="10">
        <v>366344.89335700002</v>
      </c>
      <c r="DG13" s="10">
        <v>374345.55579200003</v>
      </c>
      <c r="DH13" s="10">
        <v>344810.47713900002</v>
      </c>
      <c r="DI13" s="10">
        <v>325379.04511000001</v>
      </c>
      <c r="DJ13" s="10">
        <v>329228.72350899997</v>
      </c>
      <c r="DK13" s="10">
        <v>341021.05955399998</v>
      </c>
      <c r="DL13" s="10">
        <v>338424.45113</v>
      </c>
      <c r="DM13" s="10">
        <v>355377.64617199998</v>
      </c>
    </row>
    <row r="14" spans="1:117" s="3" customFormat="1" ht="18" customHeight="1" x14ac:dyDescent="0.3">
      <c r="B14" s="15" t="s">
        <v>13</v>
      </c>
      <c r="C14" s="9" t="s">
        <v>8</v>
      </c>
      <c r="D14" s="10">
        <v>2838.4957429999999</v>
      </c>
      <c r="E14" s="10">
        <v>2412.7481120000002</v>
      </c>
      <c r="F14" s="10">
        <v>2938.1705529999999</v>
      </c>
      <c r="G14" s="10">
        <v>3099.984586</v>
      </c>
      <c r="H14" s="10">
        <v>2823.5296939999998</v>
      </c>
      <c r="I14" s="10">
        <v>3334.0127640000001</v>
      </c>
      <c r="J14" s="10">
        <v>4616.8942399999996</v>
      </c>
      <c r="K14" s="10">
        <v>3885.3881839999999</v>
      </c>
      <c r="L14" s="10">
        <v>4392.8353779999998</v>
      </c>
      <c r="M14" s="10">
        <v>4713.5311979999997</v>
      </c>
      <c r="N14" s="10">
        <v>4768.7068579999996</v>
      </c>
      <c r="O14" s="10">
        <v>7297.031661</v>
      </c>
      <c r="P14" s="10">
        <v>6595.5059730000003</v>
      </c>
      <c r="Q14" s="10">
        <v>6650.1772790000005</v>
      </c>
      <c r="R14" s="10">
        <v>6340.8418970000002</v>
      </c>
      <c r="S14" s="10">
        <v>6969.8504169999997</v>
      </c>
      <c r="T14" s="10">
        <v>6482.1907149999997</v>
      </c>
      <c r="U14" s="10">
        <v>7694.8059659999999</v>
      </c>
      <c r="V14" s="10">
        <v>9124.5557680000002</v>
      </c>
      <c r="W14" s="10">
        <v>8570.5838939999994</v>
      </c>
      <c r="X14" s="10">
        <v>9091.5327940000006</v>
      </c>
      <c r="Y14" s="10">
        <v>8972.4138879999991</v>
      </c>
      <c r="Z14" s="10">
        <v>9382.3817739999995</v>
      </c>
      <c r="AA14" s="10">
        <v>13235.987209000001</v>
      </c>
      <c r="AB14" s="10">
        <v>11605.528718</v>
      </c>
      <c r="AC14" s="10">
        <v>11164.078884</v>
      </c>
      <c r="AD14" s="10">
        <v>12568.163715000001</v>
      </c>
      <c r="AE14" s="10">
        <v>11902.755150000001</v>
      </c>
      <c r="AF14" s="10">
        <v>12434.632503000001</v>
      </c>
      <c r="AG14" s="10">
        <v>13583.931887000001</v>
      </c>
      <c r="AH14" s="10">
        <v>13878.906093</v>
      </c>
      <c r="AI14" s="10">
        <v>13339.097055</v>
      </c>
      <c r="AJ14" s="10">
        <v>13599.895809</v>
      </c>
      <c r="AK14" s="10">
        <v>12147.505945000001</v>
      </c>
      <c r="AL14" s="10">
        <v>13299.802409</v>
      </c>
      <c r="AM14" s="10">
        <v>16663.888546999999</v>
      </c>
      <c r="AN14" s="10">
        <v>14833.612058000001</v>
      </c>
      <c r="AO14" s="10">
        <v>15190.682863</v>
      </c>
      <c r="AP14" s="10">
        <v>16681.246276999998</v>
      </c>
      <c r="AQ14" s="10">
        <v>14419.467364</v>
      </c>
      <c r="AR14" s="10">
        <v>16004.247315000001</v>
      </c>
      <c r="AS14" s="10">
        <v>17927.698181</v>
      </c>
      <c r="AT14" s="10">
        <v>17837.561407000001</v>
      </c>
      <c r="AU14" s="10">
        <v>19585.450011000001</v>
      </c>
      <c r="AV14" s="10">
        <v>18989.377321</v>
      </c>
      <c r="AW14" s="10">
        <v>23250.241889000001</v>
      </c>
      <c r="AX14" s="10">
        <v>18626.547977999999</v>
      </c>
      <c r="AY14" s="10">
        <v>23500.607682999998</v>
      </c>
      <c r="AZ14" s="10">
        <v>20555.417975</v>
      </c>
      <c r="BA14" s="10">
        <v>21200.062252</v>
      </c>
      <c r="BB14" s="10">
        <v>21705.655921000001</v>
      </c>
      <c r="BC14" s="10">
        <v>26222.717124999999</v>
      </c>
      <c r="BD14" s="10">
        <v>35508.477417000002</v>
      </c>
      <c r="BE14" s="10">
        <v>39933.957580000002</v>
      </c>
      <c r="BF14" s="10">
        <v>47027.778421000003</v>
      </c>
      <c r="BG14" s="10">
        <v>43998.150036999999</v>
      </c>
      <c r="BH14" s="10">
        <v>48037.560744000002</v>
      </c>
      <c r="BI14" s="10">
        <v>50908.400221999997</v>
      </c>
      <c r="BJ14" s="10">
        <v>45850.976262999997</v>
      </c>
      <c r="BK14" s="10">
        <v>56930.699210999999</v>
      </c>
      <c r="BL14" s="10">
        <v>50281.452659000002</v>
      </c>
      <c r="BM14" s="10">
        <v>49272.640897999998</v>
      </c>
      <c r="BN14" s="10">
        <v>52656.932019</v>
      </c>
      <c r="BO14" s="10">
        <v>51232.347382</v>
      </c>
      <c r="BP14" s="10">
        <v>54679.091123999999</v>
      </c>
      <c r="BQ14" s="10">
        <v>60425.284918999998</v>
      </c>
      <c r="BR14" s="10">
        <v>68945.856400999997</v>
      </c>
      <c r="BS14" s="10">
        <v>65808.784194000007</v>
      </c>
      <c r="BT14" s="10">
        <v>68458.074269999997</v>
      </c>
      <c r="BU14" s="10">
        <v>74475.558751999997</v>
      </c>
      <c r="BV14" s="10">
        <v>76859.868971000004</v>
      </c>
      <c r="BW14" s="10">
        <v>94998.418600000005</v>
      </c>
      <c r="BX14" s="10">
        <v>78116.155358999997</v>
      </c>
      <c r="BY14" s="10">
        <v>79359.017533000006</v>
      </c>
      <c r="BZ14" s="10">
        <v>87562.928709</v>
      </c>
      <c r="CA14" s="10">
        <v>90492.557065999994</v>
      </c>
      <c r="CB14" s="10">
        <v>94046.726385999995</v>
      </c>
      <c r="CC14" s="10">
        <v>104723.69175699999</v>
      </c>
      <c r="CD14" s="10">
        <v>119094.02435000001</v>
      </c>
      <c r="CE14" s="10">
        <v>110546.08852600001</v>
      </c>
      <c r="CF14" s="10">
        <v>111721.582306</v>
      </c>
      <c r="CG14" s="10">
        <v>111734.9516</v>
      </c>
      <c r="CH14" s="10">
        <v>116618.2328</v>
      </c>
      <c r="CI14" s="10">
        <v>147112.40287200001</v>
      </c>
      <c r="CJ14" s="10">
        <v>126642.037878</v>
      </c>
      <c r="CK14" s="10">
        <v>116565.98305</v>
      </c>
      <c r="CL14" s="10">
        <v>132949.43907200001</v>
      </c>
      <c r="CM14" s="10">
        <v>131753.641473</v>
      </c>
      <c r="CN14" s="10">
        <v>127456.484832</v>
      </c>
      <c r="CO14" s="10">
        <v>140923.036253</v>
      </c>
      <c r="CP14" s="10">
        <v>156340.168164</v>
      </c>
      <c r="CQ14" s="10">
        <v>153426.50487899999</v>
      </c>
      <c r="CR14" s="10">
        <v>151706.90068600001</v>
      </c>
      <c r="CS14" s="10">
        <v>170788.97479899999</v>
      </c>
      <c r="CT14" s="10">
        <v>160921.20856200001</v>
      </c>
      <c r="CU14" s="10">
        <v>169755.41923999999</v>
      </c>
      <c r="CV14" s="10">
        <v>127944.426872</v>
      </c>
      <c r="CW14" s="10">
        <v>122536.711173</v>
      </c>
      <c r="CX14" s="10">
        <v>137454.26967499999</v>
      </c>
      <c r="CY14" s="10">
        <v>136048.70859200001</v>
      </c>
      <c r="CZ14" s="10">
        <v>267806.43903900002</v>
      </c>
      <c r="DA14" s="10">
        <v>387110.61986799998</v>
      </c>
      <c r="DB14" s="10">
        <v>503989.00837300002</v>
      </c>
      <c r="DC14" s="10">
        <v>508341.29573399998</v>
      </c>
      <c r="DD14" s="10">
        <v>503375.19342199998</v>
      </c>
      <c r="DE14" s="10">
        <v>393393.72220800002</v>
      </c>
      <c r="DF14" s="10">
        <v>343070.96124899999</v>
      </c>
      <c r="DG14" s="10">
        <v>295955.47801600001</v>
      </c>
      <c r="DH14" s="10">
        <v>266274.97241799999</v>
      </c>
      <c r="DI14" s="10">
        <v>249477.46969299999</v>
      </c>
      <c r="DJ14" s="10">
        <v>255717.42378000001</v>
      </c>
      <c r="DK14" s="10">
        <v>176192.43689899999</v>
      </c>
      <c r="DL14" s="10">
        <v>181305.710315</v>
      </c>
      <c r="DM14" s="10">
        <v>180739.38163300001</v>
      </c>
    </row>
    <row r="15" spans="1:117" s="3" customFormat="1" ht="18" customHeight="1" x14ac:dyDescent="0.3">
      <c r="B15" s="9" t="s">
        <v>15</v>
      </c>
      <c r="C15" s="9" t="s">
        <v>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0.19847600000000001</v>
      </c>
      <c r="AM15" s="10">
        <v>45.285412999999998</v>
      </c>
      <c r="AN15" s="10">
        <v>68.400456000000005</v>
      </c>
      <c r="AO15" s="10">
        <v>112.86767</v>
      </c>
      <c r="AP15" s="10">
        <v>121.347829</v>
      </c>
      <c r="AQ15" s="10">
        <v>202.53279000000001</v>
      </c>
      <c r="AR15" s="10">
        <v>285.44269000000003</v>
      </c>
      <c r="AS15" s="10">
        <v>508.25161700000001</v>
      </c>
      <c r="AT15" s="10">
        <v>893.84333600000002</v>
      </c>
      <c r="AU15" s="10">
        <v>770.191686</v>
      </c>
      <c r="AV15" s="10">
        <v>626.14853600000004</v>
      </c>
      <c r="AW15" s="10">
        <v>1364.5833359999999</v>
      </c>
      <c r="AX15" s="10">
        <v>1111.053193</v>
      </c>
      <c r="AY15" s="10">
        <v>1572.4378340000001</v>
      </c>
      <c r="AZ15" s="10">
        <v>1498.2109579999999</v>
      </c>
      <c r="BA15" s="10">
        <v>1506.973821</v>
      </c>
      <c r="BB15" s="10">
        <v>1697.146792</v>
      </c>
      <c r="BC15" s="10">
        <v>3090.0349470000001</v>
      </c>
      <c r="BD15" s="10">
        <v>3352.315372</v>
      </c>
      <c r="BE15" s="10">
        <v>4311.1921339999999</v>
      </c>
      <c r="BF15" s="10">
        <v>5428.7873760000002</v>
      </c>
      <c r="BG15" s="10">
        <v>5507.0937700000004</v>
      </c>
      <c r="BH15" s="10">
        <v>6367.3214019999996</v>
      </c>
      <c r="BI15" s="10">
        <v>7176.1830540000001</v>
      </c>
      <c r="BJ15" s="10">
        <v>6828.0123389999999</v>
      </c>
      <c r="BK15" s="10">
        <v>9374.5479610000002</v>
      </c>
      <c r="BL15" s="10">
        <v>10617.372022</v>
      </c>
      <c r="BM15" s="10">
        <v>11057.434004999999</v>
      </c>
      <c r="BN15" s="10">
        <v>13370.919454999999</v>
      </c>
      <c r="BO15" s="10">
        <v>14927.742738000001</v>
      </c>
      <c r="BP15" s="10">
        <v>17369.978173</v>
      </c>
      <c r="BQ15" s="10">
        <v>19816.388342999999</v>
      </c>
      <c r="BR15" s="10">
        <v>21769.653923999998</v>
      </c>
      <c r="BS15" s="10">
        <v>22155.998681000001</v>
      </c>
      <c r="BT15" s="10">
        <v>23669.032909000001</v>
      </c>
      <c r="BU15" s="10">
        <v>27750.499082999999</v>
      </c>
      <c r="BV15" s="10">
        <v>31462.197637000001</v>
      </c>
      <c r="BW15" s="10">
        <v>41651.627429</v>
      </c>
      <c r="BX15" s="10">
        <v>33555.760606999997</v>
      </c>
      <c r="BY15" s="10">
        <v>34944.485473000001</v>
      </c>
      <c r="BZ15" s="10">
        <v>39829.397454999998</v>
      </c>
      <c r="CA15" s="10">
        <v>42043.972610999997</v>
      </c>
      <c r="CB15" s="10">
        <v>45361.895376</v>
      </c>
      <c r="CC15" s="10">
        <v>53106.125679999997</v>
      </c>
      <c r="CD15" s="10">
        <v>58181.058108999998</v>
      </c>
      <c r="CE15" s="10">
        <v>57221.864217000002</v>
      </c>
      <c r="CF15" s="10">
        <v>61340.237391000002</v>
      </c>
      <c r="CG15" s="10">
        <v>66252.562445999996</v>
      </c>
      <c r="CH15" s="10">
        <v>70854.633296</v>
      </c>
      <c r="CI15" s="10">
        <v>91120.143054999993</v>
      </c>
      <c r="CJ15" s="10">
        <v>77323.489493999994</v>
      </c>
      <c r="CK15" s="10">
        <v>76127.640241000001</v>
      </c>
      <c r="CL15" s="10">
        <v>89738.725797000006</v>
      </c>
      <c r="CM15" s="10">
        <v>95324.872778000004</v>
      </c>
      <c r="CN15" s="10">
        <v>93970.732508000001</v>
      </c>
      <c r="CO15" s="10">
        <v>117591.89954499999</v>
      </c>
      <c r="CP15" s="10">
        <v>134860.835357</v>
      </c>
      <c r="CQ15" s="10">
        <v>139331.054175</v>
      </c>
      <c r="CR15" s="10">
        <v>149725.69616600001</v>
      </c>
      <c r="CS15" s="10">
        <v>168672.063716</v>
      </c>
      <c r="CT15" s="10">
        <v>168274.41287100001</v>
      </c>
      <c r="CU15" s="10">
        <v>192608.706852</v>
      </c>
      <c r="CV15" s="10">
        <v>150210.794104</v>
      </c>
      <c r="CW15" s="10">
        <v>150903.06849599999</v>
      </c>
      <c r="CX15" s="10">
        <v>182586.208908</v>
      </c>
      <c r="CY15" s="10">
        <v>167099.62587700001</v>
      </c>
      <c r="CZ15" s="10">
        <v>189338.40768400001</v>
      </c>
      <c r="DA15" s="10">
        <v>201551.45877100001</v>
      </c>
      <c r="DB15" s="10">
        <v>220032.99237299999</v>
      </c>
      <c r="DC15" s="10">
        <v>221322.95282199999</v>
      </c>
      <c r="DD15" s="10">
        <v>212109.72683999999</v>
      </c>
      <c r="DE15" s="10">
        <v>230535.08468599999</v>
      </c>
      <c r="DF15" s="10">
        <v>240713.581951</v>
      </c>
      <c r="DG15" s="10">
        <v>295950.60308700002</v>
      </c>
      <c r="DH15" s="10">
        <v>258539.40585700001</v>
      </c>
      <c r="DI15" s="10">
        <v>253377.97835799999</v>
      </c>
      <c r="DJ15" s="10">
        <v>266296.349101</v>
      </c>
      <c r="DK15" s="10">
        <v>266976.07887700002</v>
      </c>
      <c r="DL15" s="10">
        <v>275658.44120300002</v>
      </c>
      <c r="DM15" s="10">
        <v>274907.35778000002</v>
      </c>
    </row>
    <row r="16" spans="1:117" s="3" customFormat="1" ht="18" customHeight="1" x14ac:dyDescent="0.3">
      <c r="B16" s="9" t="s">
        <v>14</v>
      </c>
      <c r="C16" s="9" t="s">
        <v>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5.0000000000000004E-6</v>
      </c>
      <c r="AP16" s="10">
        <v>1.2899999999999999E-4</v>
      </c>
      <c r="AQ16" s="10">
        <v>0</v>
      </c>
      <c r="AR16" s="10">
        <v>3.5812999999999998E-2</v>
      </c>
      <c r="AS16" s="10">
        <v>0.14233000000000001</v>
      </c>
      <c r="AT16" s="10">
        <v>2.724764</v>
      </c>
      <c r="AU16" s="10">
        <v>82.606806000000006</v>
      </c>
      <c r="AV16" s="10">
        <v>173.835466</v>
      </c>
      <c r="AW16" s="10">
        <v>1061.367555</v>
      </c>
      <c r="AX16" s="10">
        <v>2091.13861</v>
      </c>
      <c r="AY16" s="10">
        <v>2613.9169529999999</v>
      </c>
      <c r="AZ16" s="10">
        <v>2163.7040889999998</v>
      </c>
      <c r="BA16" s="10">
        <v>5207.6800080000003</v>
      </c>
      <c r="BB16" s="10">
        <v>6422.2580870000002</v>
      </c>
      <c r="BC16" s="10">
        <v>11470.172162999999</v>
      </c>
      <c r="BD16" s="10">
        <v>19940.900444999999</v>
      </c>
      <c r="BE16" s="10">
        <v>27272.073017999999</v>
      </c>
      <c r="BF16" s="10">
        <v>34040.523049000003</v>
      </c>
      <c r="BG16" s="10">
        <v>37994.515102999998</v>
      </c>
      <c r="BH16" s="10">
        <v>43074.765437000002</v>
      </c>
      <c r="BI16" s="10">
        <v>53135.216645</v>
      </c>
      <c r="BJ16" s="10">
        <v>52255.015658999997</v>
      </c>
      <c r="BK16" s="10">
        <v>58361.41345</v>
      </c>
      <c r="BL16" s="10">
        <v>52312.745256000002</v>
      </c>
      <c r="BM16" s="10">
        <v>50312.206351000001</v>
      </c>
      <c r="BN16" s="10">
        <v>61099.848685999998</v>
      </c>
      <c r="BO16" s="10">
        <v>59938.969678000001</v>
      </c>
      <c r="BP16" s="10">
        <v>67988.655880000006</v>
      </c>
      <c r="BQ16" s="10">
        <v>73435.418693</v>
      </c>
      <c r="BR16" s="10">
        <v>75253.339368000001</v>
      </c>
      <c r="BS16" s="10">
        <v>84640.977981999997</v>
      </c>
      <c r="BT16" s="10">
        <v>86694.864306000003</v>
      </c>
      <c r="BU16" s="10">
        <v>89284.465198000005</v>
      </c>
      <c r="BV16" s="10">
        <v>101109.55136500001</v>
      </c>
      <c r="BW16" s="10">
        <v>113244.99627</v>
      </c>
      <c r="BX16" s="10">
        <v>102711.70312999999</v>
      </c>
      <c r="BY16" s="10">
        <v>97679.952499000006</v>
      </c>
      <c r="BZ16" s="10">
        <v>112169.633107</v>
      </c>
      <c r="CA16" s="10">
        <v>105662.70215</v>
      </c>
      <c r="CB16" s="10">
        <v>114335.08076899999</v>
      </c>
      <c r="CC16" s="10">
        <v>124162.781554</v>
      </c>
      <c r="CD16" s="10">
        <v>129834.68013199999</v>
      </c>
      <c r="CE16" s="10">
        <v>128120.240624</v>
      </c>
      <c r="CF16" s="10">
        <v>125275.1805</v>
      </c>
      <c r="CG16" s="10">
        <v>132184.546806</v>
      </c>
      <c r="CH16" s="10">
        <v>141127.50611700001</v>
      </c>
      <c r="CI16" s="10">
        <v>164525.22875899999</v>
      </c>
      <c r="CJ16" s="10">
        <v>159466.585062</v>
      </c>
      <c r="CK16" s="10">
        <v>146149.45938300001</v>
      </c>
      <c r="CL16" s="10">
        <v>167325.74862500001</v>
      </c>
      <c r="CM16" s="10">
        <v>163718.97289899999</v>
      </c>
      <c r="CN16" s="10">
        <v>179042.43414299999</v>
      </c>
      <c r="CO16" s="10">
        <v>190667.832111</v>
      </c>
      <c r="CP16" s="10">
        <v>220783.172093</v>
      </c>
      <c r="CQ16" s="10">
        <v>229336.05088</v>
      </c>
      <c r="CR16" s="10">
        <v>222845.07536300001</v>
      </c>
      <c r="CS16" s="10">
        <v>265920.692928</v>
      </c>
      <c r="CT16" s="10">
        <v>258401.60473600001</v>
      </c>
      <c r="CU16" s="10">
        <v>262427.63724900002</v>
      </c>
      <c r="CV16" s="10">
        <v>240013.40200199999</v>
      </c>
      <c r="CW16" s="10">
        <v>221179.888943</v>
      </c>
      <c r="CX16" s="10">
        <v>235773.25763000001</v>
      </c>
      <c r="CY16" s="10">
        <v>246562.921531</v>
      </c>
      <c r="CZ16" s="10">
        <v>268179.05075900001</v>
      </c>
      <c r="DA16" s="10">
        <v>266176.06956799998</v>
      </c>
      <c r="DB16" s="10">
        <v>317736.02442600002</v>
      </c>
      <c r="DC16" s="10">
        <v>308808.01133000001</v>
      </c>
      <c r="DD16" s="10">
        <v>306009.46262499999</v>
      </c>
      <c r="DE16" s="10">
        <v>338189.158237</v>
      </c>
      <c r="DF16" s="10">
        <v>344080.36167299998</v>
      </c>
      <c r="DG16" s="10">
        <v>398496.71013100003</v>
      </c>
      <c r="DH16" s="10">
        <v>383427.28292299999</v>
      </c>
      <c r="DI16" s="10">
        <v>356787.618976</v>
      </c>
      <c r="DJ16" s="10">
        <v>384578.70066099998</v>
      </c>
      <c r="DK16" s="10">
        <v>389915.553396</v>
      </c>
      <c r="DL16" s="10">
        <v>397035.07614000002</v>
      </c>
      <c r="DM16" s="10">
        <v>416600.61918199999</v>
      </c>
    </row>
    <row r="17" spans="2:117" s="3" customFormat="1" ht="18" customHeight="1" x14ac:dyDescent="0.3">
      <c r="B17" s="9" t="s">
        <v>34</v>
      </c>
      <c r="C17" s="9" t="s">
        <v>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6.9999999999999999E-6</v>
      </c>
      <c r="AO17" s="10">
        <v>6.9999999999999999E-6</v>
      </c>
      <c r="AP17" s="10">
        <v>7.3499999999999998E-4</v>
      </c>
      <c r="AQ17" s="10">
        <v>4.0999999999999999E-4</v>
      </c>
      <c r="AR17" s="10">
        <v>8.7200000000000005E-4</v>
      </c>
      <c r="AS17" s="10">
        <v>1.1589E-2</v>
      </c>
      <c r="AT17" s="10">
        <v>0.34472799999999998</v>
      </c>
      <c r="AU17" s="10">
        <v>3.573569</v>
      </c>
      <c r="AV17" s="10">
        <v>5.9583550000000001</v>
      </c>
      <c r="AW17" s="10">
        <v>13.015362</v>
      </c>
      <c r="AX17" s="10">
        <v>13.605880000000001</v>
      </c>
      <c r="AY17" s="10">
        <v>31.569396000000001</v>
      </c>
      <c r="AZ17" s="10">
        <v>34.663423000000002</v>
      </c>
      <c r="BA17" s="10">
        <v>48.771011000000001</v>
      </c>
      <c r="BB17" s="10">
        <v>120.282245</v>
      </c>
      <c r="BC17" s="10">
        <v>323.94769100000002</v>
      </c>
      <c r="BD17" s="10">
        <v>483.03245700000002</v>
      </c>
      <c r="BE17" s="10">
        <v>724.86927900000001</v>
      </c>
      <c r="BF17" s="10">
        <v>928.07559600000002</v>
      </c>
      <c r="BG17" s="10">
        <v>1094.1486749999999</v>
      </c>
      <c r="BH17" s="10">
        <v>1414.266453</v>
      </c>
      <c r="BI17" s="10">
        <v>2309.2602390000002</v>
      </c>
      <c r="BJ17" s="10">
        <v>2858.803735</v>
      </c>
      <c r="BK17" s="10">
        <v>4062.937081</v>
      </c>
      <c r="BL17" s="10">
        <v>6106.2540170000002</v>
      </c>
      <c r="BM17" s="10">
        <v>6706.750935</v>
      </c>
      <c r="BN17" s="10">
        <v>8569.8864819999999</v>
      </c>
      <c r="BO17" s="10">
        <v>10006.676044</v>
      </c>
      <c r="BP17" s="10">
        <v>12358.777866</v>
      </c>
      <c r="BQ17" s="10">
        <v>14309.067673</v>
      </c>
      <c r="BR17" s="10">
        <v>16675.454969999999</v>
      </c>
      <c r="BS17" s="10">
        <v>8079.1399080000001</v>
      </c>
      <c r="BT17" s="10">
        <v>7683.8033230000001</v>
      </c>
      <c r="BU17" s="10">
        <v>7996.2018950000001</v>
      </c>
      <c r="BV17" s="10">
        <v>8942.5179499999995</v>
      </c>
      <c r="BW17" s="10">
        <v>10541.955645</v>
      </c>
      <c r="BX17" s="10">
        <v>9394.0518769999999</v>
      </c>
      <c r="BY17" s="10">
        <v>9603.0861179999993</v>
      </c>
      <c r="BZ17" s="10">
        <v>10394.132809999999</v>
      </c>
      <c r="CA17" s="10">
        <v>9869.7063780000008</v>
      </c>
      <c r="CB17" s="10">
        <v>9674.7011120000006</v>
      </c>
      <c r="CC17" s="10">
        <v>10128.624314000001</v>
      </c>
      <c r="CD17" s="10">
        <v>11338.351085</v>
      </c>
      <c r="CE17" s="10">
        <v>11218.361428</v>
      </c>
      <c r="CF17" s="10">
        <v>12598.947912</v>
      </c>
      <c r="CG17" s="10">
        <v>13340.05992</v>
      </c>
      <c r="CH17" s="10">
        <v>14161.139365999999</v>
      </c>
      <c r="CI17" s="10">
        <v>17249.220563999999</v>
      </c>
      <c r="CJ17" s="10">
        <v>16355.940999</v>
      </c>
      <c r="CK17" s="10">
        <v>15560.155403000001</v>
      </c>
      <c r="CL17" s="10">
        <v>18001.780963000001</v>
      </c>
      <c r="CM17" s="10">
        <v>19216.122499000001</v>
      </c>
      <c r="CN17" s="10">
        <v>20980.005471</v>
      </c>
      <c r="CO17" s="10">
        <v>23271.006370999999</v>
      </c>
      <c r="CP17" s="10">
        <v>28057.821296999999</v>
      </c>
      <c r="CQ17" s="10">
        <v>31023.027641000001</v>
      </c>
      <c r="CR17" s="10">
        <v>31678.517043</v>
      </c>
      <c r="CS17" s="10">
        <v>40735.772505000001</v>
      </c>
      <c r="CT17" s="10">
        <v>42542.695955000003</v>
      </c>
      <c r="CU17" s="10">
        <v>47291.357819999997</v>
      </c>
      <c r="CV17" s="10">
        <v>43212.111021999997</v>
      </c>
      <c r="CW17" s="10">
        <v>38628.616252</v>
      </c>
      <c r="CX17" s="10">
        <v>45324.517341999999</v>
      </c>
      <c r="CY17" s="10">
        <v>45344.811406000001</v>
      </c>
      <c r="CZ17" s="10">
        <v>50063.28512</v>
      </c>
      <c r="DA17" s="10">
        <v>50061.279184999999</v>
      </c>
      <c r="DB17" s="10">
        <v>62510.571501999999</v>
      </c>
      <c r="DC17" s="10">
        <v>60060.781305999997</v>
      </c>
      <c r="DD17" s="10">
        <v>55898.460165999997</v>
      </c>
      <c r="DE17" s="10">
        <v>62168.651420000002</v>
      </c>
      <c r="DF17" s="10">
        <v>63631.706916000003</v>
      </c>
      <c r="DG17" s="10">
        <v>78097.880359000002</v>
      </c>
      <c r="DH17" s="10">
        <v>87888.789327999999</v>
      </c>
      <c r="DI17" s="10">
        <v>80723.242983000004</v>
      </c>
      <c r="DJ17" s="10">
        <v>81951.950821999999</v>
      </c>
      <c r="DK17" s="10">
        <v>82381.798127000002</v>
      </c>
      <c r="DL17" s="10">
        <v>82365.006641999993</v>
      </c>
      <c r="DM17" s="10">
        <v>87440.330331000005</v>
      </c>
    </row>
    <row r="18" spans="2:117" s="3" customFormat="1" ht="18" customHeight="1" x14ac:dyDescent="0.3">
      <c r="B18" s="9" t="s">
        <v>35</v>
      </c>
      <c r="C18" s="3" t="s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3.3359030000000001</v>
      </c>
      <c r="Q18" s="10">
        <v>5.7986800000000001</v>
      </c>
      <c r="R18" s="10">
        <v>8.6101379999999992</v>
      </c>
      <c r="S18" s="10">
        <v>7.4199989999999998</v>
      </c>
      <c r="T18" s="10">
        <v>9.7364069999999998</v>
      </c>
      <c r="U18" s="10">
        <v>15.183721</v>
      </c>
      <c r="V18" s="10">
        <v>25.189831999999999</v>
      </c>
      <c r="W18" s="10">
        <v>24.699590000000001</v>
      </c>
      <c r="X18" s="10">
        <v>31.415441999999999</v>
      </c>
      <c r="Y18" s="10">
        <v>46.399754000000001</v>
      </c>
      <c r="Z18" s="10">
        <v>66.822011000000003</v>
      </c>
      <c r="AA18" s="10">
        <v>151.65107499999999</v>
      </c>
      <c r="AB18" s="10">
        <v>259.22726399999999</v>
      </c>
      <c r="AC18" s="10">
        <v>725.08312899999999</v>
      </c>
      <c r="AD18" s="10">
        <v>1263.090316</v>
      </c>
      <c r="AE18" s="10">
        <v>2053.3494799999999</v>
      </c>
      <c r="AF18" s="10">
        <v>3110.0210160000001</v>
      </c>
      <c r="AG18" s="10">
        <v>3807.1925550000001</v>
      </c>
      <c r="AH18" s="10">
        <v>5250.5906770000001</v>
      </c>
      <c r="AI18" s="10">
        <v>5033.678183</v>
      </c>
      <c r="AJ18" s="10">
        <v>6192.1752539999998</v>
      </c>
      <c r="AK18" s="10">
        <v>7620.753522</v>
      </c>
      <c r="AL18" s="10">
        <v>8549.4698169999992</v>
      </c>
      <c r="AM18" s="10">
        <v>10559.367088999999</v>
      </c>
      <c r="AN18" s="10">
        <v>10109.921827</v>
      </c>
      <c r="AO18" s="10">
        <v>9970.4570089999997</v>
      </c>
      <c r="AP18" s="10">
        <v>10158.530142</v>
      </c>
      <c r="AQ18" s="10">
        <v>9858.2093129999994</v>
      </c>
      <c r="AR18" s="10">
        <v>12189.538342</v>
      </c>
      <c r="AS18" s="10">
        <v>13824.257863999999</v>
      </c>
      <c r="AT18" s="10">
        <v>15840.187989</v>
      </c>
      <c r="AU18" s="10">
        <v>16231.642594999999</v>
      </c>
      <c r="AV18" s="10">
        <v>15994.674228</v>
      </c>
      <c r="AW18" s="10">
        <v>17406.832928</v>
      </c>
      <c r="AX18" s="10">
        <v>17964.865167</v>
      </c>
      <c r="AY18" s="10">
        <v>24111.351751999999</v>
      </c>
      <c r="AZ18" s="10">
        <v>22150.184047999999</v>
      </c>
      <c r="BA18" s="10">
        <v>22762.637812000001</v>
      </c>
      <c r="BB18" s="10">
        <v>21745.466808000001</v>
      </c>
      <c r="BC18" s="10">
        <v>28566.029438000001</v>
      </c>
      <c r="BD18" s="10">
        <v>26726.818804999999</v>
      </c>
      <c r="BE18" s="10">
        <v>26497.004506000001</v>
      </c>
      <c r="BF18" s="10">
        <v>29445.472174999999</v>
      </c>
      <c r="BG18" s="10">
        <v>27363.034141</v>
      </c>
      <c r="BH18" s="10">
        <v>29404.596831999999</v>
      </c>
      <c r="BI18" s="10">
        <v>31242.852939</v>
      </c>
      <c r="BJ18" s="10">
        <v>30232.071386</v>
      </c>
      <c r="BK18" s="10">
        <v>29568.648134999999</v>
      </c>
      <c r="BL18" s="10">
        <v>25139.709975999998</v>
      </c>
      <c r="BM18" s="10">
        <v>23374.450457999999</v>
      </c>
      <c r="BN18" s="10">
        <v>25783.175650000001</v>
      </c>
      <c r="BO18" s="10">
        <v>24588.784722</v>
      </c>
      <c r="BP18" s="10">
        <v>26333.643667</v>
      </c>
      <c r="BQ18" s="10">
        <v>27778.509967000002</v>
      </c>
      <c r="BR18" s="10">
        <v>31044.129768999999</v>
      </c>
      <c r="BS18" s="10">
        <v>29354.954975000001</v>
      </c>
      <c r="BT18" s="10">
        <v>29291.087929000001</v>
      </c>
      <c r="BU18" s="10">
        <v>31543.272317999999</v>
      </c>
      <c r="BV18" s="10">
        <v>30836.088299999999</v>
      </c>
      <c r="BW18" s="10">
        <v>38995.436393000004</v>
      </c>
      <c r="BX18" s="10">
        <v>30651.408057000001</v>
      </c>
      <c r="BY18" s="10">
        <v>30573.366065999999</v>
      </c>
      <c r="BZ18" s="10">
        <v>32085.634765999999</v>
      </c>
      <c r="CA18" s="10">
        <v>32153.278460000001</v>
      </c>
      <c r="CB18" s="10">
        <v>31797.817166000001</v>
      </c>
      <c r="CC18" s="10">
        <v>34029.232043999997</v>
      </c>
      <c r="CD18" s="10">
        <v>37584.400454000002</v>
      </c>
      <c r="CE18" s="10">
        <v>29238.927715000002</v>
      </c>
      <c r="CF18" s="10">
        <v>32910.432309999997</v>
      </c>
      <c r="CG18" s="10">
        <v>31298.725579999998</v>
      </c>
      <c r="CH18" s="10">
        <v>31067.140081000001</v>
      </c>
      <c r="CI18" s="10">
        <v>37718.205976999998</v>
      </c>
      <c r="CJ18" s="10">
        <v>31028.47537</v>
      </c>
      <c r="CK18" s="10">
        <v>29329.734626000001</v>
      </c>
      <c r="CL18" s="10">
        <v>30711.112359999999</v>
      </c>
      <c r="CM18" s="10">
        <v>28148.738496000002</v>
      </c>
      <c r="CN18" s="10">
        <v>26799.709037000001</v>
      </c>
      <c r="CO18" s="10">
        <v>28473.131358999999</v>
      </c>
      <c r="CP18" s="10">
        <v>30226.847985</v>
      </c>
      <c r="CQ18" s="10">
        <v>26298.666653</v>
      </c>
      <c r="CR18" s="10">
        <v>26034.519463000001</v>
      </c>
      <c r="CS18" s="10">
        <v>27442.836932999999</v>
      </c>
      <c r="CT18" s="10">
        <v>27024.722453999999</v>
      </c>
      <c r="CU18" s="10">
        <v>29604.540031</v>
      </c>
      <c r="CV18" s="10">
        <v>22741.422537999999</v>
      </c>
      <c r="CW18" s="10">
        <v>18170.690639</v>
      </c>
      <c r="CX18" s="10">
        <v>19741.462683000002</v>
      </c>
      <c r="CY18" s="10">
        <v>17728.776902000001</v>
      </c>
      <c r="CZ18" s="10">
        <v>20823.230665999999</v>
      </c>
      <c r="DA18" s="10">
        <v>23323.283628000001</v>
      </c>
      <c r="DB18" s="10">
        <v>25635.276678999999</v>
      </c>
      <c r="DC18" s="10">
        <v>23257.614356999999</v>
      </c>
      <c r="DD18" s="10">
        <v>23188.701883000002</v>
      </c>
      <c r="DE18" s="10">
        <v>26079.161566999999</v>
      </c>
      <c r="DF18" s="10">
        <v>28377.983577999999</v>
      </c>
      <c r="DG18" s="10">
        <v>36031.380103000003</v>
      </c>
      <c r="DH18" s="10">
        <v>32544.730117999999</v>
      </c>
      <c r="DI18" s="10">
        <v>31436.941198</v>
      </c>
      <c r="DJ18" s="10">
        <v>29761.089995999999</v>
      </c>
      <c r="DK18" s="10">
        <v>28944.213812000002</v>
      </c>
      <c r="DL18" s="10">
        <v>31790.981897000001</v>
      </c>
      <c r="DM18" s="10">
        <v>32615.459920000001</v>
      </c>
    </row>
    <row r="19" spans="2:117" s="3" customFormat="1" ht="18" customHeight="1" x14ac:dyDescent="0.3">
      <c r="B19" s="9" t="s">
        <v>36</v>
      </c>
      <c r="C19" s="9" t="s">
        <v>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34344.756540000002</v>
      </c>
      <c r="Q19" s="10">
        <v>31364.509102</v>
      </c>
      <c r="R19" s="10">
        <v>41047.387387000002</v>
      </c>
      <c r="S19" s="10">
        <v>38372.009726999997</v>
      </c>
      <c r="T19" s="10">
        <v>36565.116095999998</v>
      </c>
      <c r="U19" s="10">
        <v>37940.575416</v>
      </c>
      <c r="V19" s="10">
        <v>43421.581971</v>
      </c>
      <c r="W19" s="10">
        <v>47441.389961000001</v>
      </c>
      <c r="X19" s="10">
        <v>47705.040835</v>
      </c>
      <c r="Y19" s="10">
        <v>45362.671694999997</v>
      </c>
      <c r="Z19" s="10">
        <v>43918.444476999997</v>
      </c>
      <c r="AA19" s="10">
        <v>44263.942298000002</v>
      </c>
      <c r="AB19" s="10">
        <v>45815.906940000001</v>
      </c>
      <c r="AC19" s="10">
        <v>46655.027486999999</v>
      </c>
      <c r="AD19" s="10">
        <v>47036.436182999998</v>
      </c>
      <c r="AE19" s="10">
        <v>46163.742901999998</v>
      </c>
      <c r="AF19" s="10">
        <v>43012.407388</v>
      </c>
      <c r="AG19" s="10">
        <v>51555.031648999997</v>
      </c>
      <c r="AH19" s="10">
        <v>54608.497149000003</v>
      </c>
      <c r="AI19" s="10">
        <v>54884.923636</v>
      </c>
      <c r="AJ19" s="10">
        <v>48775.529184999999</v>
      </c>
      <c r="AK19" s="10">
        <v>44810.558825</v>
      </c>
      <c r="AL19" s="10">
        <v>42551.463594000001</v>
      </c>
      <c r="AM19" s="10">
        <v>44510.303377999997</v>
      </c>
      <c r="AN19" s="10">
        <v>46673.690434999997</v>
      </c>
      <c r="AO19" s="10">
        <v>47500.687001999999</v>
      </c>
      <c r="AP19" s="10">
        <v>47545.169204999998</v>
      </c>
      <c r="AQ19" s="10">
        <v>51629.081000999999</v>
      </c>
      <c r="AR19" s="10">
        <v>58988.314135000001</v>
      </c>
      <c r="AS19" s="10">
        <v>73673.480760999999</v>
      </c>
      <c r="AT19" s="10">
        <v>73921.301433000001</v>
      </c>
      <c r="AU19" s="10">
        <v>63270.337463000003</v>
      </c>
      <c r="AV19" s="10">
        <v>61048.900298</v>
      </c>
      <c r="AW19" s="10">
        <v>60021.705733000003</v>
      </c>
      <c r="AX19" s="10">
        <v>57229.132776999999</v>
      </c>
      <c r="AY19" s="10">
        <v>54721.012155999997</v>
      </c>
      <c r="AZ19" s="10">
        <v>56327.518204</v>
      </c>
      <c r="BA19" s="10">
        <v>50971.370790000001</v>
      </c>
      <c r="BB19" s="10">
        <v>46867.515345</v>
      </c>
      <c r="BC19" s="10">
        <v>47970.035974999999</v>
      </c>
      <c r="BD19" s="10">
        <v>44738.660832000001</v>
      </c>
      <c r="BE19" s="10">
        <v>52331.080771000001</v>
      </c>
      <c r="BF19" s="10">
        <v>54630.396652000003</v>
      </c>
      <c r="BG19" s="10">
        <v>54487.155963999998</v>
      </c>
      <c r="BH19" s="10">
        <v>63979.050988000003</v>
      </c>
      <c r="BI19" s="10">
        <v>64160.155171999999</v>
      </c>
      <c r="BJ19" s="10">
        <v>62447.943507000004</v>
      </c>
      <c r="BK19" s="10">
        <v>55385.010038</v>
      </c>
      <c r="BL19" s="10">
        <v>51229.169924000002</v>
      </c>
      <c r="BM19" s="10">
        <v>50499.027346000003</v>
      </c>
      <c r="BN19" s="10">
        <v>54922.702798999999</v>
      </c>
      <c r="BO19" s="10">
        <v>49478.236072</v>
      </c>
      <c r="BP19" s="10">
        <v>61263.775329999997</v>
      </c>
      <c r="BQ19" s="10">
        <v>65444.500733000001</v>
      </c>
      <c r="BR19" s="10">
        <v>70111.385938000007</v>
      </c>
      <c r="BS19" s="10">
        <v>73745.254237999994</v>
      </c>
      <c r="BT19" s="10">
        <v>77773.390102000005</v>
      </c>
      <c r="BU19" s="10">
        <v>70341.984473999997</v>
      </c>
      <c r="BV19" s="10">
        <v>72182.526740000001</v>
      </c>
      <c r="BW19" s="10">
        <v>75234.976710999996</v>
      </c>
      <c r="BX19" s="10">
        <v>71101.747441</v>
      </c>
      <c r="BY19" s="10">
        <v>68213.386381000004</v>
      </c>
      <c r="BZ19" s="10">
        <v>75943.379772</v>
      </c>
      <c r="CA19" s="10">
        <v>76433.468376999997</v>
      </c>
      <c r="CB19" s="10">
        <v>77546.665059999999</v>
      </c>
      <c r="CC19" s="10">
        <v>91326.545975000001</v>
      </c>
      <c r="CD19" s="10">
        <v>99531.176437000002</v>
      </c>
      <c r="CE19" s="10">
        <v>97977.999211000002</v>
      </c>
      <c r="CF19" s="10">
        <v>96461.978333000006</v>
      </c>
      <c r="CG19" s="10">
        <v>93351.630399999995</v>
      </c>
      <c r="CH19" s="10">
        <v>89587.684064000001</v>
      </c>
      <c r="CI19" s="10">
        <v>99068.320850000004</v>
      </c>
      <c r="CJ19" s="10">
        <v>91615.503561000005</v>
      </c>
      <c r="CK19" s="10">
        <v>89508.272410000005</v>
      </c>
      <c r="CL19" s="10">
        <v>91780.075255000003</v>
      </c>
      <c r="CM19" s="10">
        <v>95181.839934999996</v>
      </c>
      <c r="CN19" s="10">
        <v>93315.546136999998</v>
      </c>
      <c r="CO19" s="10">
        <v>104243.429362</v>
      </c>
      <c r="CP19" s="10">
        <v>118521.170721</v>
      </c>
      <c r="CQ19" s="10">
        <v>114607.61672400001</v>
      </c>
      <c r="CR19" s="10">
        <v>111777.25956799999</v>
      </c>
      <c r="CS19" s="10">
        <v>111274.91652</v>
      </c>
      <c r="CT19" s="10">
        <v>105703.00470999999</v>
      </c>
      <c r="CU19" s="10">
        <v>100991.64814</v>
      </c>
      <c r="CV19" s="10">
        <v>84220.836519000004</v>
      </c>
      <c r="CW19" s="10">
        <v>83220.432423000006</v>
      </c>
      <c r="CX19" s="10">
        <v>96081.622136000005</v>
      </c>
      <c r="CY19" s="10">
        <v>88566.118984000001</v>
      </c>
      <c r="CZ19" s="10">
        <v>94119.486151000005</v>
      </c>
      <c r="DA19" s="10">
        <v>102516.04601000001</v>
      </c>
      <c r="DB19" s="10">
        <v>108467.42446900001</v>
      </c>
      <c r="DC19" s="10">
        <v>109004.496342</v>
      </c>
      <c r="DD19" s="10">
        <v>109202.688002</v>
      </c>
      <c r="DE19" s="10">
        <v>121534.965152</v>
      </c>
      <c r="DF19" s="10">
        <v>124732.90006299999</v>
      </c>
      <c r="DG19" s="10">
        <v>141613.56443599999</v>
      </c>
      <c r="DH19" s="10">
        <v>124844.074305</v>
      </c>
      <c r="DI19" s="10">
        <v>120355.018882</v>
      </c>
      <c r="DJ19" s="10">
        <v>121532.85045100001</v>
      </c>
      <c r="DK19" s="10">
        <v>121438.354026</v>
      </c>
      <c r="DL19" s="10">
        <v>124602.512808</v>
      </c>
      <c r="DM19" s="10">
        <v>132912.20350900001</v>
      </c>
    </row>
    <row r="20" spans="2:117" s="11" customFormat="1" ht="18" customHeight="1" x14ac:dyDescent="0.3">
      <c r="B20" s="12" t="s">
        <v>10</v>
      </c>
      <c r="C20" s="12" t="s">
        <v>1</v>
      </c>
      <c r="D20" s="13">
        <v>313540.05760399997</v>
      </c>
      <c r="E20" s="13">
        <v>310358.853061</v>
      </c>
      <c r="F20" s="13">
        <v>343420.21949699998</v>
      </c>
      <c r="G20" s="13">
        <v>341973.78167499998</v>
      </c>
      <c r="H20" s="13">
        <v>359371.40597600001</v>
      </c>
      <c r="I20" s="13">
        <v>363362.36571099999</v>
      </c>
      <c r="J20" s="13">
        <v>398148.69088199997</v>
      </c>
      <c r="K20" s="13">
        <v>393642.40776800003</v>
      </c>
      <c r="L20" s="13">
        <v>391823.56282300001</v>
      </c>
      <c r="M20" s="13">
        <v>415592.555559</v>
      </c>
      <c r="N20" s="13">
        <v>416450.06869099999</v>
      </c>
      <c r="O20" s="13">
        <v>517759.76954699995</v>
      </c>
      <c r="P20" s="13">
        <v>486599.57254400011</v>
      </c>
      <c r="Q20" s="13">
        <v>410320.09789199993</v>
      </c>
      <c r="R20" s="13">
        <v>498156.35840500001</v>
      </c>
      <c r="S20" s="13">
        <v>454517.4472869999</v>
      </c>
      <c r="T20" s="13">
        <v>483220.29710999998</v>
      </c>
      <c r="U20" s="13">
        <v>501178.60889699997</v>
      </c>
      <c r="V20" s="13">
        <v>539874.76444100006</v>
      </c>
      <c r="W20" s="13">
        <v>535328.90936599998</v>
      </c>
      <c r="X20" s="13">
        <v>522168.71196799999</v>
      </c>
      <c r="Y20" s="13">
        <v>553322.57916099997</v>
      </c>
      <c r="Z20" s="13">
        <v>547780.09675100003</v>
      </c>
      <c r="AA20" s="13">
        <v>627507.18748899992</v>
      </c>
      <c r="AB20" s="13">
        <v>569507.25433000003</v>
      </c>
      <c r="AC20" s="13">
        <v>516896.29301299999</v>
      </c>
      <c r="AD20" s="13">
        <v>561850.84189899999</v>
      </c>
      <c r="AE20" s="13">
        <v>545978.89173199993</v>
      </c>
      <c r="AF20" s="13">
        <v>588506.89017899998</v>
      </c>
      <c r="AG20" s="13">
        <v>581918.34521099995</v>
      </c>
      <c r="AH20" s="13">
        <v>607944.9982090001</v>
      </c>
      <c r="AI20" s="13">
        <v>592002.470263</v>
      </c>
      <c r="AJ20" s="13">
        <v>550771.80424799991</v>
      </c>
      <c r="AK20" s="13">
        <v>573604.87225399993</v>
      </c>
      <c r="AL20" s="13">
        <v>554779.51023699995</v>
      </c>
      <c r="AM20" s="13">
        <v>644079.44710900006</v>
      </c>
      <c r="AN20" s="13">
        <v>588452.12037200003</v>
      </c>
      <c r="AO20" s="13">
        <v>541273.03902100003</v>
      </c>
      <c r="AP20" s="13">
        <v>575864.08609</v>
      </c>
      <c r="AQ20" s="13">
        <v>552244.17786900001</v>
      </c>
      <c r="AR20" s="13">
        <v>609590.62997000001</v>
      </c>
      <c r="AS20" s="13">
        <v>609761.84983499988</v>
      </c>
      <c r="AT20" s="13">
        <v>665424.53284000012</v>
      </c>
      <c r="AU20" s="13">
        <v>669736.65878399997</v>
      </c>
      <c r="AV20" s="13">
        <v>633199.29388600006</v>
      </c>
      <c r="AW20" s="13">
        <v>725879.61136299989</v>
      </c>
      <c r="AX20" s="13">
        <v>641269.14784800005</v>
      </c>
      <c r="AY20" s="13">
        <v>723186.39006900007</v>
      </c>
      <c r="AZ20" s="13">
        <v>641108.6855560001</v>
      </c>
      <c r="BA20" s="13">
        <v>613318.95042799995</v>
      </c>
      <c r="BB20" s="13">
        <v>587143.487478</v>
      </c>
      <c r="BC20" s="13">
        <v>642319.39647299994</v>
      </c>
      <c r="BD20" s="13">
        <v>747274.87462800008</v>
      </c>
      <c r="BE20" s="13">
        <v>794818.99565299996</v>
      </c>
      <c r="BF20" s="13">
        <v>875007.7491159999</v>
      </c>
      <c r="BG20" s="13">
        <v>828852.33616599999</v>
      </c>
      <c r="BH20" s="13">
        <v>848470.55887099996</v>
      </c>
      <c r="BI20" s="13">
        <v>936676.12889300007</v>
      </c>
      <c r="BJ20" s="13">
        <v>875053.61479800008</v>
      </c>
      <c r="BK20" s="13">
        <v>998865.24396799994</v>
      </c>
      <c r="BL20" s="13">
        <v>876242.54919099994</v>
      </c>
      <c r="BM20" s="13">
        <v>818676.57914200006</v>
      </c>
      <c r="BN20" s="13">
        <v>937813.91948499996</v>
      </c>
      <c r="BO20" s="13">
        <v>883695.6993359999</v>
      </c>
      <c r="BP20" s="13">
        <v>917645.05078399996</v>
      </c>
      <c r="BQ20" s="13">
        <v>969492.31540099997</v>
      </c>
      <c r="BR20" s="13">
        <v>1046793.2516279999</v>
      </c>
      <c r="BS20" s="13">
        <v>1023718.3138529999</v>
      </c>
      <c r="BT20" s="13">
        <v>1036076.6592610002</v>
      </c>
      <c r="BU20" s="13">
        <v>1094774.734033</v>
      </c>
      <c r="BV20" s="13">
        <v>1128470.5013839998</v>
      </c>
      <c r="BW20" s="13">
        <v>1295230.9302400001</v>
      </c>
      <c r="BX20" s="13">
        <v>1078341.351205</v>
      </c>
      <c r="BY20" s="13">
        <v>1029916.834303</v>
      </c>
      <c r="BZ20" s="13">
        <v>1135572.831433</v>
      </c>
      <c r="CA20" s="13">
        <v>1105072.0429479999</v>
      </c>
      <c r="CB20" s="13">
        <v>1140684.0916559999</v>
      </c>
      <c r="CC20" s="13">
        <v>1211309.4238139999</v>
      </c>
      <c r="CD20" s="13">
        <v>1290045.519419</v>
      </c>
      <c r="CE20" s="13">
        <v>1195367.8902739999</v>
      </c>
      <c r="CF20" s="13">
        <v>1190793.0156630001</v>
      </c>
      <c r="CG20" s="13">
        <v>1212647.874541</v>
      </c>
      <c r="CH20" s="13">
        <v>1222678.2368009998</v>
      </c>
      <c r="CI20" s="13">
        <v>1450248.6615810001</v>
      </c>
      <c r="CJ20" s="13">
        <v>1283835.7976250004</v>
      </c>
      <c r="CK20" s="13">
        <v>1173293.6476150001</v>
      </c>
      <c r="CL20" s="13">
        <v>1338367.3678039999</v>
      </c>
      <c r="CM20" s="13">
        <v>1310584.268953</v>
      </c>
      <c r="CN20" s="13">
        <v>1317988.542013</v>
      </c>
      <c r="CO20" s="13">
        <v>1415011.3557740001</v>
      </c>
      <c r="CP20" s="13">
        <v>1544824.2189699998</v>
      </c>
      <c r="CQ20" s="13">
        <v>1537792.6440320001</v>
      </c>
      <c r="CR20" s="13">
        <v>1505853.956364</v>
      </c>
      <c r="CS20" s="13">
        <v>1748462.0497279998</v>
      </c>
      <c r="CT20" s="13">
        <v>1627154.0048940002</v>
      </c>
      <c r="CU20" s="13">
        <v>1669270.3260899999</v>
      </c>
      <c r="CV20" s="13">
        <v>1373570.2706229999</v>
      </c>
      <c r="CW20" s="13">
        <v>1302138.1442449999</v>
      </c>
      <c r="CX20" s="13">
        <v>1411028.6041260001</v>
      </c>
      <c r="CY20" s="13">
        <v>1417055.6820760001</v>
      </c>
      <c r="CZ20" s="13">
        <v>1771496.9535499997</v>
      </c>
      <c r="DA20" s="13">
        <v>1812105.1655069999</v>
      </c>
      <c r="DB20" s="13">
        <v>2055478.3193139997</v>
      </c>
      <c r="DC20" s="13">
        <v>2026144.4862200001</v>
      </c>
      <c r="DD20" s="13">
        <v>1972890.7490730002</v>
      </c>
      <c r="DE20" s="13">
        <v>1973984.4365049999</v>
      </c>
      <c r="DF20" s="13">
        <v>1926801.1127219999</v>
      </c>
      <c r="DG20" s="13">
        <v>2062286.8168030004</v>
      </c>
      <c r="DH20" s="13">
        <v>1876089.088059</v>
      </c>
      <c r="DI20" s="13">
        <v>1792205.295496</v>
      </c>
      <c r="DJ20" s="13">
        <v>1867628.9256670002</v>
      </c>
      <c r="DK20" s="13">
        <v>1778907.9827049999</v>
      </c>
      <c r="DL20" s="13">
        <v>1833998.6251990001</v>
      </c>
      <c r="DM20" s="13">
        <v>1853899.7443240001</v>
      </c>
    </row>
    <row r="22" spans="2:117" x14ac:dyDescent="0.3">
      <c r="B22" s="14" t="s">
        <v>44</v>
      </c>
    </row>
    <row r="23" spans="2:117" x14ac:dyDescent="0.3">
      <c r="B23" s="14" t="s">
        <v>43</v>
      </c>
    </row>
    <row r="24" spans="2:117" x14ac:dyDescent="0.3">
      <c r="AV24" s="4">
        <f>DM20/AS20</f>
        <v>3.0403668986927617</v>
      </c>
    </row>
    <row r="25" spans="2:117" x14ac:dyDescent="0.3">
      <c r="B25" s="14" t="s">
        <v>42</v>
      </c>
    </row>
    <row r="26" spans="2:117" x14ac:dyDescent="0.3">
      <c r="B26" s="14" t="s">
        <v>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B82A-7A4A-4C8C-B62A-48B545124E12}">
  <dimension ref="B1:AA990"/>
  <sheetViews>
    <sheetView showGridLines="0" zoomScaleNormal="100" workbookViewId="0"/>
  </sheetViews>
  <sheetFormatPr baseColWidth="10" defaultColWidth="14.44140625" defaultRowHeight="15" customHeight="1" x14ac:dyDescent="0.3"/>
  <cols>
    <col min="1" max="1" width="3.109375" style="16" customWidth="1"/>
    <col min="2" max="2" width="6.6640625" style="16" customWidth="1"/>
    <col min="3" max="4" width="129.88671875" style="16" customWidth="1"/>
    <col min="5" max="27" width="11" style="16" customWidth="1"/>
    <col min="28" max="16384" width="14.44140625" style="16"/>
  </cols>
  <sheetData>
    <row r="1" spans="2:27" ht="13.5" customHeight="1" x14ac:dyDescent="0.3"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2:27" ht="18" customHeight="1" x14ac:dyDescent="0.3">
      <c r="B2" s="18"/>
      <c r="C2" s="19" t="s">
        <v>16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2:27" ht="14.25" customHeight="1" x14ac:dyDescent="0.3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spans="2:27" ht="14.4" x14ac:dyDescent="0.3">
      <c r="B4" s="20">
        <v>1</v>
      </c>
      <c r="C4" s="21" t="s">
        <v>17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2:27" ht="57.6" x14ac:dyDescent="0.3">
      <c r="B5" s="22" t="s">
        <v>18</v>
      </c>
      <c r="C5" s="29" t="s">
        <v>39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2:27" ht="28.8" x14ac:dyDescent="0.3">
      <c r="B6" s="22" t="s">
        <v>19</v>
      </c>
      <c r="C6" s="17" t="s">
        <v>22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2:27" ht="14.4" x14ac:dyDescent="0.3">
      <c r="B7" s="22" t="s">
        <v>20</v>
      </c>
      <c r="C7" s="17" t="s">
        <v>40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2:27" ht="14.4" x14ac:dyDescent="0.3">
      <c r="B8" s="22" t="s">
        <v>21</v>
      </c>
      <c r="C8" s="24" t="s">
        <v>23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2:27" ht="57.6" x14ac:dyDescent="0.3">
      <c r="B9" s="25"/>
      <c r="C9" s="28" t="s">
        <v>38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2:27" ht="14.4" x14ac:dyDescent="0.3">
      <c r="B10" s="25"/>
      <c r="C10" s="21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2:27" ht="14.4" x14ac:dyDescent="0.3">
      <c r="B11" s="25" t="s">
        <v>24</v>
      </c>
      <c r="C11" s="21" t="s">
        <v>25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2:27" ht="14.4" x14ac:dyDescent="0.3">
      <c r="B12" s="26" t="s">
        <v>26</v>
      </c>
      <c r="C12" s="17" t="s">
        <v>27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2:27" ht="14.4" x14ac:dyDescent="0.3">
      <c r="B13" s="23" t="s">
        <v>28</v>
      </c>
      <c r="C13" s="17" t="s">
        <v>29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2:27" ht="14.4" x14ac:dyDescent="0.3">
      <c r="B14" s="27" t="s">
        <v>30</v>
      </c>
      <c r="C14" s="17" t="s">
        <v>31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2:27" ht="14.4" x14ac:dyDescent="0.3">
      <c r="B15" s="27" t="s">
        <v>32</v>
      </c>
      <c r="C15" s="17" t="s">
        <v>33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2:27" ht="14.4" x14ac:dyDescent="0.3">
      <c r="B16" s="2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2:27" ht="14.4" x14ac:dyDescent="0.3">
      <c r="B17" s="2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2:27" ht="14.4" x14ac:dyDescent="0.3">
      <c r="B18" s="2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2:27" ht="14.4" x14ac:dyDescent="0.3">
      <c r="B19" s="2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2:27" ht="14.4" x14ac:dyDescent="0.3">
      <c r="B20" s="2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2:27" ht="14.4" x14ac:dyDescent="0.3">
      <c r="B21" s="2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2:27" ht="14.4" x14ac:dyDescent="0.3">
      <c r="B22" s="2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2:27" ht="14.4" x14ac:dyDescent="0.3">
      <c r="B23" s="2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2:27" ht="14.4" x14ac:dyDescent="0.3">
      <c r="B24" s="2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2:27" ht="14.4" x14ac:dyDescent="0.3">
      <c r="B25" s="2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2:27" ht="14.4" x14ac:dyDescent="0.3">
      <c r="B26" s="2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2:27" ht="14.4" x14ac:dyDescent="0.3">
      <c r="B27" s="2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2:27" ht="14.4" x14ac:dyDescent="0.3">
      <c r="B28" s="2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2:27" ht="18" customHeight="1" x14ac:dyDescent="0.3">
      <c r="B29" s="2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2:27" ht="18" customHeight="1" x14ac:dyDescent="0.3">
      <c r="B30" s="2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2:27" ht="18" customHeight="1" x14ac:dyDescent="0.3">
      <c r="B31" s="2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2:27" ht="18" customHeight="1" x14ac:dyDescent="0.3">
      <c r="B32" s="2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2:27" ht="18" customHeight="1" x14ac:dyDescent="0.3">
      <c r="B33" s="2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2:27" ht="18" customHeight="1" x14ac:dyDescent="0.3">
      <c r="B34" s="2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2:27" ht="18" customHeight="1" x14ac:dyDescent="0.3">
      <c r="B35" s="2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2:27" ht="18" customHeight="1" x14ac:dyDescent="0.3">
      <c r="B36" s="2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2:27" ht="18" customHeight="1" x14ac:dyDescent="0.3">
      <c r="B37" s="2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2:27" ht="18" customHeight="1" x14ac:dyDescent="0.3">
      <c r="B38" s="2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2:27" ht="18" customHeight="1" x14ac:dyDescent="0.3">
      <c r="B39" s="2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2:27" ht="18" customHeight="1" x14ac:dyDescent="0.3">
      <c r="B40" s="2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2:27" ht="18" customHeight="1" x14ac:dyDescent="0.3">
      <c r="B41" s="2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2:27" ht="18" customHeight="1" x14ac:dyDescent="0.3">
      <c r="B42" s="2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2:27" ht="18" customHeight="1" x14ac:dyDescent="0.3">
      <c r="B43" s="2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2:27" ht="18" customHeight="1" x14ac:dyDescent="0.3">
      <c r="B44" s="2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18" customHeight="1" x14ac:dyDescent="0.3">
      <c r="B45" s="2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2:27" ht="18" customHeight="1" x14ac:dyDescent="0.3">
      <c r="B46" s="2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2:27" ht="18" customHeight="1" x14ac:dyDescent="0.3">
      <c r="B47" s="2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18" customHeight="1" x14ac:dyDescent="0.3">
      <c r="B48" s="2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2:27" ht="18" customHeight="1" x14ac:dyDescent="0.3">
      <c r="B49" s="2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2:27" ht="18" customHeight="1" x14ac:dyDescent="0.3">
      <c r="B50" s="2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18" customHeight="1" x14ac:dyDescent="0.3">
      <c r="B51" s="2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2:27" ht="18" customHeight="1" x14ac:dyDescent="0.3">
      <c r="B52" s="2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2:27" ht="18" customHeight="1" x14ac:dyDescent="0.3">
      <c r="B53" s="2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18" customHeight="1" x14ac:dyDescent="0.3">
      <c r="B54" s="2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2:27" ht="18" customHeight="1" x14ac:dyDescent="0.3">
      <c r="B55" s="2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2:27" ht="18" customHeight="1" x14ac:dyDescent="0.3">
      <c r="B56" s="2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2:27" ht="18" customHeight="1" x14ac:dyDescent="0.3">
      <c r="B57" s="2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2:27" ht="18" customHeight="1" x14ac:dyDescent="0.3">
      <c r="B58" s="2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2:27" ht="18" customHeight="1" x14ac:dyDescent="0.3">
      <c r="B59" s="2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2:27" ht="18" customHeight="1" x14ac:dyDescent="0.3">
      <c r="B60" s="2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2:27" ht="18" customHeight="1" x14ac:dyDescent="0.3">
      <c r="B61" s="2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2:27" ht="18" customHeight="1" x14ac:dyDescent="0.3">
      <c r="B62" s="2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2:27" ht="18" customHeight="1" x14ac:dyDescent="0.3">
      <c r="B63" s="2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2:27" ht="18" customHeight="1" x14ac:dyDescent="0.3">
      <c r="B64" s="2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2:27" ht="18" customHeight="1" x14ac:dyDescent="0.3">
      <c r="B65" s="2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2:27" ht="18" customHeight="1" x14ac:dyDescent="0.3">
      <c r="B66" s="2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2:27" ht="18" customHeight="1" x14ac:dyDescent="0.3">
      <c r="B67" s="2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2:27" ht="18" customHeight="1" x14ac:dyDescent="0.3">
      <c r="B68" s="2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2:27" ht="18" customHeight="1" x14ac:dyDescent="0.3">
      <c r="B69" s="2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2:27" ht="18" customHeight="1" x14ac:dyDescent="0.3">
      <c r="B70" s="2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2:27" ht="18" customHeight="1" x14ac:dyDescent="0.3">
      <c r="B71" s="2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2:27" ht="18" customHeight="1" x14ac:dyDescent="0.3">
      <c r="B72" s="2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2:27" ht="18" customHeight="1" x14ac:dyDescent="0.3">
      <c r="B73" s="2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2:27" ht="18" customHeight="1" x14ac:dyDescent="0.3">
      <c r="B74" s="2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2:27" ht="18" customHeight="1" x14ac:dyDescent="0.3">
      <c r="B75" s="2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2:27" ht="18" customHeight="1" x14ac:dyDescent="0.3">
      <c r="B76" s="2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2:27" ht="18" customHeight="1" x14ac:dyDescent="0.3">
      <c r="B77" s="2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2:27" ht="18" customHeight="1" x14ac:dyDescent="0.3">
      <c r="B78" s="2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2:27" ht="18" customHeight="1" x14ac:dyDescent="0.3">
      <c r="B79" s="2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2:27" ht="18" customHeight="1" x14ac:dyDescent="0.3">
      <c r="B80" s="2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2:27" ht="18" customHeight="1" x14ac:dyDescent="0.3">
      <c r="B81" s="2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2:27" ht="18" customHeight="1" x14ac:dyDescent="0.3">
      <c r="B82" s="2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2:27" ht="18" customHeight="1" x14ac:dyDescent="0.3">
      <c r="B83" s="2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2:27" ht="18" customHeight="1" x14ac:dyDescent="0.3">
      <c r="B84" s="2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2:27" ht="18" customHeight="1" x14ac:dyDescent="0.3">
      <c r="B85" s="2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2:27" ht="18" customHeight="1" x14ac:dyDescent="0.3">
      <c r="B86" s="2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2:27" ht="18" customHeight="1" x14ac:dyDescent="0.3">
      <c r="B87" s="2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2:27" ht="18" customHeight="1" x14ac:dyDescent="0.3">
      <c r="B88" s="2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2:27" ht="18" customHeight="1" x14ac:dyDescent="0.3">
      <c r="B89" s="2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2:27" ht="18" customHeight="1" x14ac:dyDescent="0.3">
      <c r="B90" s="2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2:27" ht="18" customHeight="1" x14ac:dyDescent="0.3">
      <c r="B91" s="2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2:27" ht="18" customHeight="1" x14ac:dyDescent="0.3">
      <c r="B92" s="2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2:27" ht="18" customHeight="1" x14ac:dyDescent="0.3">
      <c r="B93" s="2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2:27" ht="18" customHeight="1" x14ac:dyDescent="0.3">
      <c r="B94" s="2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2:27" ht="18" customHeight="1" x14ac:dyDescent="0.3">
      <c r="B95" s="2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2:27" ht="18" customHeight="1" x14ac:dyDescent="0.3">
      <c r="B96" s="2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2:27" ht="18" customHeight="1" x14ac:dyDescent="0.3">
      <c r="B97" s="2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2:27" ht="18" customHeight="1" x14ac:dyDescent="0.3">
      <c r="B98" s="2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2:27" ht="18" customHeight="1" x14ac:dyDescent="0.3">
      <c r="B99" s="2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2:27" ht="18" customHeight="1" x14ac:dyDescent="0.3">
      <c r="B100" s="2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2:27" ht="18" customHeight="1" x14ac:dyDescent="0.3">
      <c r="B101" s="2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2:27" ht="18" customHeight="1" x14ac:dyDescent="0.3">
      <c r="B102" s="2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2:27" ht="18" customHeight="1" x14ac:dyDescent="0.3">
      <c r="B103" s="2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2:27" ht="18" customHeight="1" x14ac:dyDescent="0.3">
      <c r="B104" s="2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2:27" ht="18" customHeight="1" x14ac:dyDescent="0.3">
      <c r="B105" s="2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2:27" ht="18" customHeight="1" x14ac:dyDescent="0.3">
      <c r="B106" s="2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2:27" ht="18" customHeight="1" x14ac:dyDescent="0.3">
      <c r="B107" s="2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2:27" ht="18" customHeight="1" x14ac:dyDescent="0.3">
      <c r="B108" s="2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2:27" ht="18" customHeight="1" x14ac:dyDescent="0.3">
      <c r="B109" s="2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2:27" ht="18" customHeight="1" x14ac:dyDescent="0.3">
      <c r="B110" s="2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2:27" ht="18" customHeight="1" x14ac:dyDescent="0.3">
      <c r="B111" s="2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2:27" ht="18" customHeight="1" x14ac:dyDescent="0.3">
      <c r="B112" s="2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2:27" ht="18" customHeight="1" x14ac:dyDescent="0.3">
      <c r="B113" s="2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2:27" ht="18" customHeight="1" x14ac:dyDescent="0.3">
      <c r="B114" s="2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2:27" ht="18" customHeight="1" x14ac:dyDescent="0.3">
      <c r="B115" s="2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2:27" ht="18" customHeight="1" x14ac:dyDescent="0.3">
      <c r="B116" s="2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2:27" ht="18" customHeight="1" x14ac:dyDescent="0.3">
      <c r="B117" s="2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2:27" ht="18" customHeight="1" x14ac:dyDescent="0.3">
      <c r="B118" s="2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2:27" ht="18" customHeight="1" x14ac:dyDescent="0.3">
      <c r="B119" s="2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2:27" ht="18" customHeight="1" x14ac:dyDescent="0.3">
      <c r="B120" s="2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2:27" ht="18" customHeight="1" x14ac:dyDescent="0.3">
      <c r="B121" s="2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spans="2:27" ht="18" customHeight="1" x14ac:dyDescent="0.3">
      <c r="B122" s="2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2:27" ht="18" customHeight="1" x14ac:dyDescent="0.3">
      <c r="B123" s="2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spans="2:27" ht="18" customHeight="1" x14ac:dyDescent="0.3">
      <c r="B124" s="2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2:27" ht="18" customHeight="1" x14ac:dyDescent="0.3">
      <c r="B125" s="2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2:27" ht="18" customHeight="1" x14ac:dyDescent="0.3">
      <c r="B126" s="2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2:27" ht="18" customHeight="1" x14ac:dyDescent="0.3">
      <c r="B127" s="2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2:27" ht="18" customHeight="1" x14ac:dyDescent="0.3">
      <c r="B128" s="2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2:27" ht="18" customHeight="1" x14ac:dyDescent="0.3">
      <c r="B129" s="2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2:27" ht="18" customHeight="1" x14ac:dyDescent="0.3">
      <c r="B130" s="2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2:27" ht="18" customHeight="1" x14ac:dyDescent="0.3">
      <c r="B131" s="2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2:27" ht="18" customHeight="1" x14ac:dyDescent="0.3">
      <c r="B132" s="2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2:27" ht="18" customHeight="1" x14ac:dyDescent="0.3">
      <c r="B133" s="2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2:27" ht="18" customHeight="1" x14ac:dyDescent="0.3">
      <c r="B134" s="2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2:27" ht="18" customHeight="1" x14ac:dyDescent="0.3">
      <c r="B135" s="2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2:27" ht="18" customHeight="1" x14ac:dyDescent="0.3">
      <c r="B136" s="2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2:27" ht="18" customHeight="1" x14ac:dyDescent="0.3">
      <c r="B137" s="2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2:27" ht="18" customHeight="1" x14ac:dyDescent="0.3">
      <c r="B138" s="2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2:27" ht="18" customHeight="1" x14ac:dyDescent="0.3">
      <c r="B139" s="2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2:27" ht="18" customHeight="1" x14ac:dyDescent="0.3">
      <c r="B140" s="2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2:27" ht="18" customHeight="1" x14ac:dyDescent="0.3">
      <c r="B141" s="2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spans="2:27" ht="18" customHeight="1" x14ac:dyDescent="0.3">
      <c r="B142" s="2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2:27" ht="18" customHeight="1" x14ac:dyDescent="0.3">
      <c r="B143" s="2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spans="2:27" ht="18" customHeight="1" x14ac:dyDescent="0.3">
      <c r="B144" s="2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spans="2:27" ht="18" customHeight="1" x14ac:dyDescent="0.3">
      <c r="B145" s="2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spans="2:27" ht="18" customHeight="1" x14ac:dyDescent="0.3">
      <c r="B146" s="2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2:27" ht="18" customHeight="1" x14ac:dyDescent="0.3">
      <c r="B147" s="2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2:27" ht="18" customHeight="1" x14ac:dyDescent="0.3">
      <c r="B148" s="2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2:27" ht="18" customHeight="1" x14ac:dyDescent="0.3">
      <c r="B149" s="2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2:27" ht="18" customHeight="1" x14ac:dyDescent="0.3">
      <c r="B150" s="2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2:27" ht="18" customHeight="1" x14ac:dyDescent="0.3">
      <c r="B151" s="2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2:27" ht="18" customHeight="1" x14ac:dyDescent="0.3">
      <c r="B152" s="2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2:27" ht="18" customHeight="1" x14ac:dyDescent="0.3">
      <c r="B153" s="2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2:27" ht="18" customHeight="1" x14ac:dyDescent="0.3">
      <c r="B154" s="2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2:27" ht="18" customHeight="1" x14ac:dyDescent="0.3">
      <c r="B155" s="2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2:27" ht="18" customHeight="1" x14ac:dyDescent="0.3">
      <c r="B156" s="2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2:27" ht="18" customHeight="1" x14ac:dyDescent="0.3">
      <c r="B157" s="2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spans="2:27" ht="18" customHeight="1" x14ac:dyDescent="0.3">
      <c r="B158" s="2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spans="2:27" ht="18" customHeight="1" x14ac:dyDescent="0.3">
      <c r="B159" s="2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2:27" ht="18" customHeight="1" x14ac:dyDescent="0.3">
      <c r="B160" s="2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2:27" ht="18" customHeight="1" x14ac:dyDescent="0.3">
      <c r="B161" s="2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2:27" ht="18" customHeight="1" x14ac:dyDescent="0.3">
      <c r="B162" s="2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2:27" ht="18" customHeight="1" x14ac:dyDescent="0.3">
      <c r="B163" s="2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2:27" ht="18" customHeight="1" x14ac:dyDescent="0.3">
      <c r="B164" s="2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2:27" ht="18" customHeight="1" x14ac:dyDescent="0.3">
      <c r="B165" s="2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2:27" ht="18" customHeight="1" x14ac:dyDescent="0.3">
      <c r="B166" s="2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2:27" ht="18" customHeight="1" x14ac:dyDescent="0.3">
      <c r="B167" s="2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2:27" ht="18" customHeight="1" x14ac:dyDescent="0.3">
      <c r="B168" s="2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2:27" ht="18" customHeight="1" x14ac:dyDescent="0.3">
      <c r="B169" s="2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2:27" ht="18" customHeight="1" x14ac:dyDescent="0.3">
      <c r="B170" s="2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2:27" ht="18" customHeight="1" x14ac:dyDescent="0.3">
      <c r="B171" s="2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2:27" ht="18" customHeight="1" x14ac:dyDescent="0.3">
      <c r="B172" s="2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2:27" ht="18" customHeight="1" x14ac:dyDescent="0.3">
      <c r="B173" s="2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spans="2:27" ht="18" customHeight="1" x14ac:dyDescent="0.3">
      <c r="B174" s="2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2:27" ht="18" customHeight="1" x14ac:dyDescent="0.3">
      <c r="B175" s="2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2:27" ht="18" customHeight="1" x14ac:dyDescent="0.3">
      <c r="B176" s="2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2:27" ht="18" customHeight="1" x14ac:dyDescent="0.3">
      <c r="B177" s="2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2:27" ht="18" customHeight="1" x14ac:dyDescent="0.3">
      <c r="B178" s="2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2:27" ht="18" customHeight="1" x14ac:dyDescent="0.3">
      <c r="B179" s="2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2:27" ht="18" customHeight="1" x14ac:dyDescent="0.3">
      <c r="B180" s="2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2:27" ht="18" customHeight="1" x14ac:dyDescent="0.3">
      <c r="B181" s="2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2:27" ht="18" customHeight="1" x14ac:dyDescent="0.3">
      <c r="B182" s="2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2:27" ht="18" customHeight="1" x14ac:dyDescent="0.3">
      <c r="B183" s="2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2:27" ht="18" customHeight="1" x14ac:dyDescent="0.3">
      <c r="B184" s="2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2:27" ht="18" customHeight="1" x14ac:dyDescent="0.3">
      <c r="B185" s="2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spans="2:27" ht="18" customHeight="1" x14ac:dyDescent="0.3">
      <c r="B186" s="2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spans="2:27" ht="18" customHeight="1" x14ac:dyDescent="0.3">
      <c r="B187" s="2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spans="2:27" ht="18" customHeight="1" x14ac:dyDescent="0.3">
      <c r="B188" s="2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spans="2:27" ht="18" customHeight="1" x14ac:dyDescent="0.3">
      <c r="B189" s="2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spans="2:27" ht="18" customHeight="1" x14ac:dyDescent="0.3">
      <c r="B190" s="2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spans="2:27" ht="18" customHeight="1" x14ac:dyDescent="0.3">
      <c r="B191" s="2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spans="2:27" ht="18" customHeight="1" x14ac:dyDescent="0.3">
      <c r="B192" s="2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spans="2:27" ht="18" customHeight="1" x14ac:dyDescent="0.3">
      <c r="B193" s="2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spans="2:27" ht="18" customHeight="1" x14ac:dyDescent="0.3">
      <c r="B194" s="2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spans="2:27" ht="18" customHeight="1" x14ac:dyDescent="0.3">
      <c r="B195" s="2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spans="2:27" ht="18" customHeight="1" x14ac:dyDescent="0.3">
      <c r="B196" s="2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spans="2:27" ht="18" customHeight="1" x14ac:dyDescent="0.3">
      <c r="B197" s="2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spans="2:27" ht="18" customHeight="1" x14ac:dyDescent="0.3">
      <c r="B198" s="2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spans="2:27" ht="18" customHeight="1" x14ac:dyDescent="0.3">
      <c r="B199" s="2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spans="2:27" ht="18" customHeight="1" x14ac:dyDescent="0.3">
      <c r="B200" s="2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spans="2:27" ht="18" customHeight="1" x14ac:dyDescent="0.3">
      <c r="B201" s="2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spans="2:27" ht="18" customHeight="1" x14ac:dyDescent="0.3">
      <c r="B202" s="2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spans="2:27" ht="18" customHeight="1" x14ac:dyDescent="0.3">
      <c r="B203" s="2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spans="2:27" ht="18" customHeight="1" x14ac:dyDescent="0.3">
      <c r="B204" s="2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spans="2:27" ht="18" customHeight="1" x14ac:dyDescent="0.3">
      <c r="B205" s="2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spans="2:27" ht="18" customHeight="1" x14ac:dyDescent="0.3">
      <c r="B206" s="2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spans="2:27" ht="18" customHeight="1" x14ac:dyDescent="0.3">
      <c r="B207" s="2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spans="2:27" ht="18" customHeight="1" x14ac:dyDescent="0.3">
      <c r="B208" s="2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spans="2:27" ht="18" customHeight="1" x14ac:dyDescent="0.3">
      <c r="B209" s="2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spans="2:27" ht="18" customHeight="1" x14ac:dyDescent="0.3">
      <c r="B210" s="2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2:27" ht="18" customHeight="1" x14ac:dyDescent="0.3">
      <c r="B211" s="2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2:27" ht="18" customHeight="1" x14ac:dyDescent="0.3">
      <c r="B212" s="2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2:27" ht="14.25" customHeight="1" x14ac:dyDescent="0.3"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2:27" ht="14.25" customHeight="1" x14ac:dyDescent="0.3"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spans="2:27" ht="14.25" customHeight="1" x14ac:dyDescent="0.3"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spans="2:27" ht="14.25" customHeight="1" x14ac:dyDescent="0.3"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spans="2:27" ht="14.25" customHeight="1" x14ac:dyDescent="0.3"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2:27" ht="14.25" customHeight="1" x14ac:dyDescent="0.3"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2:27" ht="14.25" customHeight="1" x14ac:dyDescent="0.3"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spans="2:27" ht="14.25" customHeight="1" x14ac:dyDescent="0.3"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spans="2:27" ht="14.25" customHeight="1" x14ac:dyDescent="0.3"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spans="2:27" ht="14.25" customHeight="1" x14ac:dyDescent="0.3"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2:27" ht="14.25" customHeight="1" x14ac:dyDescent="0.3"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spans="2:27" ht="14.25" customHeight="1" x14ac:dyDescent="0.3"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spans="3:27" ht="14.25" customHeight="1" x14ac:dyDescent="0.3"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spans="3:27" ht="14.25" customHeight="1" x14ac:dyDescent="0.3"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spans="3:27" ht="14.25" customHeight="1" x14ac:dyDescent="0.3"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spans="3:27" ht="14.25" customHeight="1" x14ac:dyDescent="0.3"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spans="3:27" ht="14.25" customHeight="1" x14ac:dyDescent="0.3"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spans="3:27" ht="14.25" customHeight="1" x14ac:dyDescent="0.3"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spans="3:27" ht="14.25" customHeight="1" x14ac:dyDescent="0.3"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spans="3:27" ht="14.25" customHeight="1" x14ac:dyDescent="0.3"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spans="3:27" ht="14.25" customHeight="1" x14ac:dyDescent="0.3"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spans="3:27" ht="14.25" customHeight="1" x14ac:dyDescent="0.3"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spans="3:27" ht="14.25" customHeight="1" x14ac:dyDescent="0.3"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spans="3:27" ht="14.25" customHeight="1" x14ac:dyDescent="0.3"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spans="3:27" ht="14.25" customHeight="1" x14ac:dyDescent="0.3"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spans="3:27" ht="14.25" customHeight="1" x14ac:dyDescent="0.3"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spans="3:27" ht="14.25" customHeight="1" x14ac:dyDescent="0.3"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spans="3:27" ht="14.25" customHeight="1" x14ac:dyDescent="0.3"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spans="3:27" ht="14.25" customHeight="1" x14ac:dyDescent="0.3"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spans="3:27" ht="14.25" customHeight="1" x14ac:dyDescent="0.3"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spans="3:27" ht="14.25" customHeight="1" x14ac:dyDescent="0.3"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spans="3:27" ht="14.25" customHeight="1" x14ac:dyDescent="0.3"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spans="3:27" ht="14.25" customHeight="1" x14ac:dyDescent="0.3"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spans="3:27" ht="14.25" customHeight="1" x14ac:dyDescent="0.3"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spans="3:27" ht="14.25" customHeight="1" x14ac:dyDescent="0.3"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spans="3:27" ht="14.25" customHeight="1" x14ac:dyDescent="0.3"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spans="3:27" ht="14.25" customHeight="1" x14ac:dyDescent="0.3"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spans="3:27" ht="14.25" customHeight="1" x14ac:dyDescent="0.3"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spans="3:27" ht="14.25" customHeight="1" x14ac:dyDescent="0.3"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spans="3:27" ht="14.25" customHeight="1" x14ac:dyDescent="0.3"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spans="3:27" ht="14.25" customHeight="1" x14ac:dyDescent="0.3"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spans="3:27" ht="14.25" customHeight="1" x14ac:dyDescent="0.3"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spans="3:27" ht="14.25" customHeight="1" x14ac:dyDescent="0.3"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spans="3:27" ht="14.25" customHeight="1" x14ac:dyDescent="0.3"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spans="3:27" ht="14.25" customHeight="1" x14ac:dyDescent="0.3"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spans="3:27" ht="14.25" customHeight="1" x14ac:dyDescent="0.3"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spans="3:27" ht="14.25" customHeight="1" x14ac:dyDescent="0.3"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spans="3:27" ht="14.25" customHeight="1" x14ac:dyDescent="0.3"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spans="3:27" ht="14.25" customHeight="1" x14ac:dyDescent="0.3"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spans="3:27" ht="14.25" customHeight="1" x14ac:dyDescent="0.3"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spans="3:27" ht="14.25" customHeight="1" x14ac:dyDescent="0.3"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spans="3:27" ht="14.25" customHeight="1" x14ac:dyDescent="0.3"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spans="3:27" ht="14.25" customHeight="1" x14ac:dyDescent="0.3"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spans="3:27" ht="14.25" customHeight="1" x14ac:dyDescent="0.3"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spans="3:27" ht="14.25" customHeight="1" x14ac:dyDescent="0.3"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spans="3:27" ht="14.25" customHeight="1" x14ac:dyDescent="0.3"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spans="3:27" ht="14.25" customHeight="1" x14ac:dyDescent="0.3"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spans="3:27" ht="14.25" customHeight="1" x14ac:dyDescent="0.3"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spans="3:27" ht="14.25" customHeight="1" x14ac:dyDescent="0.3"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spans="3:27" ht="14.25" customHeight="1" x14ac:dyDescent="0.3"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spans="3:27" ht="14.25" customHeight="1" x14ac:dyDescent="0.3"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spans="3:27" ht="14.25" customHeight="1" x14ac:dyDescent="0.3"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spans="3:27" ht="14.25" customHeight="1" x14ac:dyDescent="0.3"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spans="3:27" ht="14.25" customHeight="1" x14ac:dyDescent="0.3"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spans="3:27" ht="14.25" customHeight="1" x14ac:dyDescent="0.3"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spans="3:27" ht="14.25" customHeight="1" x14ac:dyDescent="0.3"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spans="3:27" ht="14.25" customHeight="1" x14ac:dyDescent="0.3"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spans="3:27" ht="14.25" customHeight="1" x14ac:dyDescent="0.3"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spans="3:27" ht="14.25" customHeight="1" x14ac:dyDescent="0.3"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spans="3:27" ht="14.25" customHeight="1" x14ac:dyDescent="0.3"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spans="3:27" ht="14.25" customHeight="1" x14ac:dyDescent="0.3"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spans="3:27" ht="14.25" customHeight="1" x14ac:dyDescent="0.3"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spans="3:27" ht="14.25" customHeight="1" x14ac:dyDescent="0.3"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spans="3:27" ht="14.25" customHeight="1" x14ac:dyDescent="0.3"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spans="3:27" ht="14.25" customHeight="1" x14ac:dyDescent="0.3"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spans="3:27" ht="14.25" customHeight="1" x14ac:dyDescent="0.3"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spans="3:27" ht="14.25" customHeight="1" x14ac:dyDescent="0.3"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spans="3:27" ht="14.25" customHeight="1" x14ac:dyDescent="0.3"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spans="3:27" ht="14.25" customHeight="1" x14ac:dyDescent="0.3"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spans="3:27" ht="14.25" customHeight="1" x14ac:dyDescent="0.3"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spans="3:27" ht="14.25" customHeight="1" x14ac:dyDescent="0.3"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spans="3:27" ht="14.25" customHeight="1" x14ac:dyDescent="0.3"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spans="3:27" ht="14.25" customHeight="1" x14ac:dyDescent="0.3"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spans="3:27" ht="14.25" customHeight="1" x14ac:dyDescent="0.3"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spans="3:27" ht="14.25" customHeight="1" x14ac:dyDescent="0.3"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spans="3:27" ht="14.25" customHeight="1" x14ac:dyDescent="0.3"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spans="3:27" ht="14.25" customHeight="1" x14ac:dyDescent="0.3"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spans="3:27" ht="14.25" customHeight="1" x14ac:dyDescent="0.3"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spans="3:27" ht="14.25" customHeight="1" x14ac:dyDescent="0.3"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spans="3:27" ht="14.25" customHeight="1" x14ac:dyDescent="0.3"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spans="3:27" ht="14.25" customHeight="1" x14ac:dyDescent="0.3"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spans="3:27" ht="14.25" customHeight="1" x14ac:dyDescent="0.3"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spans="3:27" ht="14.25" customHeight="1" x14ac:dyDescent="0.3"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spans="3:27" ht="14.25" customHeight="1" x14ac:dyDescent="0.3"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spans="3:27" ht="14.25" customHeight="1" x14ac:dyDescent="0.3"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spans="3:27" ht="14.25" customHeight="1" x14ac:dyDescent="0.3"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spans="3:27" ht="14.25" customHeight="1" x14ac:dyDescent="0.3"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spans="3:27" ht="14.25" customHeight="1" x14ac:dyDescent="0.3"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spans="3:27" ht="14.25" customHeight="1" x14ac:dyDescent="0.3"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spans="3:27" ht="14.25" customHeight="1" x14ac:dyDescent="0.3"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spans="3:27" ht="14.25" customHeight="1" x14ac:dyDescent="0.3"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spans="3:27" ht="14.25" customHeight="1" x14ac:dyDescent="0.3"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spans="3:27" ht="14.25" customHeight="1" x14ac:dyDescent="0.3"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spans="3:27" ht="14.25" customHeight="1" x14ac:dyDescent="0.3"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spans="3:27" ht="14.25" customHeight="1" x14ac:dyDescent="0.3"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spans="3:27" ht="14.25" customHeight="1" x14ac:dyDescent="0.3"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spans="3:27" ht="14.25" customHeight="1" x14ac:dyDescent="0.3"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spans="3:27" ht="14.25" customHeight="1" x14ac:dyDescent="0.3"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spans="3:27" ht="14.25" customHeight="1" x14ac:dyDescent="0.3"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spans="3:27" ht="14.25" customHeight="1" x14ac:dyDescent="0.3"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spans="3:27" ht="14.25" customHeight="1" x14ac:dyDescent="0.3"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spans="3:27" ht="14.25" customHeight="1" x14ac:dyDescent="0.3"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spans="3:27" ht="14.25" customHeight="1" x14ac:dyDescent="0.3"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spans="3:27" ht="14.25" customHeight="1" x14ac:dyDescent="0.3"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spans="3:27" ht="14.25" customHeight="1" x14ac:dyDescent="0.3"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spans="3:27" ht="14.25" customHeight="1" x14ac:dyDescent="0.3"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spans="3:27" ht="14.25" customHeight="1" x14ac:dyDescent="0.3"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spans="3:27" ht="14.25" customHeight="1" x14ac:dyDescent="0.3"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spans="3:27" ht="14.25" customHeight="1" x14ac:dyDescent="0.3"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spans="3:27" ht="14.25" customHeight="1" x14ac:dyDescent="0.3"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spans="3:27" ht="14.25" customHeight="1" x14ac:dyDescent="0.3"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spans="3:27" ht="14.25" customHeight="1" x14ac:dyDescent="0.3"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spans="3:27" ht="14.25" customHeight="1" x14ac:dyDescent="0.3"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spans="3:27" ht="14.25" customHeight="1" x14ac:dyDescent="0.3"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spans="3:27" ht="14.25" customHeight="1" x14ac:dyDescent="0.3"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spans="3:27" ht="14.25" customHeight="1" x14ac:dyDescent="0.3"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spans="3:27" ht="14.25" customHeight="1" x14ac:dyDescent="0.3"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spans="3:27" ht="14.25" customHeight="1" x14ac:dyDescent="0.3"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spans="3:27" ht="14.25" customHeight="1" x14ac:dyDescent="0.3"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spans="3:27" ht="14.25" customHeight="1" x14ac:dyDescent="0.3"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spans="3:27" ht="14.25" customHeight="1" x14ac:dyDescent="0.3"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spans="3:27" ht="14.25" customHeight="1" x14ac:dyDescent="0.3"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spans="3:27" ht="14.25" customHeight="1" x14ac:dyDescent="0.3"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spans="3:27" ht="14.25" customHeight="1" x14ac:dyDescent="0.3"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spans="3:27" ht="14.25" customHeight="1" x14ac:dyDescent="0.3"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spans="3:27" ht="14.25" customHeight="1" x14ac:dyDescent="0.3"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spans="3:27" ht="14.25" customHeight="1" x14ac:dyDescent="0.3"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spans="3:27" ht="14.25" customHeight="1" x14ac:dyDescent="0.3"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spans="3:27" ht="14.25" customHeight="1" x14ac:dyDescent="0.3"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spans="3:27" ht="14.25" customHeight="1" x14ac:dyDescent="0.3"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spans="3:27" ht="14.25" customHeight="1" x14ac:dyDescent="0.3"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spans="3:27" ht="14.25" customHeight="1" x14ac:dyDescent="0.3"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spans="3:27" ht="14.25" customHeight="1" x14ac:dyDescent="0.3"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spans="3:27" ht="14.25" customHeight="1" x14ac:dyDescent="0.3"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spans="3:27" ht="14.25" customHeight="1" x14ac:dyDescent="0.3"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spans="3:27" ht="14.25" customHeight="1" x14ac:dyDescent="0.3"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spans="3:27" ht="14.25" customHeight="1" x14ac:dyDescent="0.3"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spans="3:27" ht="14.25" customHeight="1" x14ac:dyDescent="0.3"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spans="3:27" ht="14.25" customHeight="1" x14ac:dyDescent="0.3"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spans="3:27" ht="14.25" customHeight="1" x14ac:dyDescent="0.3"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spans="3:27" ht="14.25" customHeight="1" x14ac:dyDescent="0.3"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spans="3:27" ht="14.25" customHeight="1" x14ac:dyDescent="0.3"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spans="3:27" ht="14.25" customHeight="1" x14ac:dyDescent="0.3"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spans="3:27" ht="14.25" customHeight="1" x14ac:dyDescent="0.3"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spans="3:27" ht="14.25" customHeight="1" x14ac:dyDescent="0.3"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spans="3:27" ht="14.25" customHeight="1" x14ac:dyDescent="0.3"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spans="3:27" ht="14.25" customHeight="1" x14ac:dyDescent="0.3"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spans="3:27" ht="14.25" customHeight="1" x14ac:dyDescent="0.3"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spans="3:27" ht="14.25" customHeight="1" x14ac:dyDescent="0.3"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spans="3:27" ht="14.25" customHeight="1" x14ac:dyDescent="0.3"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spans="3:27" ht="14.25" customHeight="1" x14ac:dyDescent="0.3"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spans="3:27" ht="14.25" customHeight="1" x14ac:dyDescent="0.3"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spans="3:27" ht="14.25" customHeight="1" x14ac:dyDescent="0.3"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spans="3:27" ht="14.25" customHeight="1" x14ac:dyDescent="0.3"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spans="3:27" ht="14.25" customHeight="1" x14ac:dyDescent="0.3"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spans="3:27" ht="14.25" customHeight="1" x14ac:dyDescent="0.3"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spans="3:27" ht="14.25" customHeight="1" x14ac:dyDescent="0.3"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spans="3:27" ht="14.25" customHeight="1" x14ac:dyDescent="0.3"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spans="3:27" ht="14.25" customHeight="1" x14ac:dyDescent="0.3"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spans="3:27" ht="14.25" customHeight="1" x14ac:dyDescent="0.3"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spans="3:27" ht="14.25" customHeight="1" x14ac:dyDescent="0.3"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spans="3:27" ht="14.25" customHeight="1" x14ac:dyDescent="0.3"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spans="3:27" ht="14.25" customHeight="1" x14ac:dyDescent="0.3"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spans="3:27" ht="14.25" customHeight="1" x14ac:dyDescent="0.3"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spans="3:27" ht="14.25" customHeight="1" x14ac:dyDescent="0.3"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spans="3:27" ht="14.25" customHeight="1" x14ac:dyDescent="0.3"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spans="3:27" ht="14.25" customHeight="1" x14ac:dyDescent="0.3"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spans="3:27" ht="14.25" customHeight="1" x14ac:dyDescent="0.3"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spans="3:27" ht="14.25" customHeight="1" x14ac:dyDescent="0.3"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spans="3:27" ht="14.25" customHeight="1" x14ac:dyDescent="0.3"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spans="3:27" ht="14.25" customHeight="1" x14ac:dyDescent="0.3"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spans="3:27" ht="14.25" customHeight="1" x14ac:dyDescent="0.3"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spans="3:27" ht="14.25" customHeight="1" x14ac:dyDescent="0.3"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spans="3:27" ht="14.25" customHeight="1" x14ac:dyDescent="0.3"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spans="3:27" ht="14.25" customHeight="1" x14ac:dyDescent="0.3"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spans="3:27" ht="14.25" customHeight="1" x14ac:dyDescent="0.3"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spans="3:27" ht="14.25" customHeight="1" x14ac:dyDescent="0.3"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spans="3:27" ht="14.25" customHeight="1" x14ac:dyDescent="0.3"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spans="3:27" ht="14.25" customHeight="1" x14ac:dyDescent="0.3"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spans="3:27" ht="14.25" customHeight="1" x14ac:dyDescent="0.3"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spans="3:27" ht="14.25" customHeight="1" x14ac:dyDescent="0.3"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spans="3:27" ht="14.25" customHeight="1" x14ac:dyDescent="0.3"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spans="3:27" ht="14.25" customHeight="1" x14ac:dyDescent="0.3"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spans="3:27" ht="14.25" customHeight="1" x14ac:dyDescent="0.3"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spans="3:27" ht="14.25" customHeight="1" x14ac:dyDescent="0.3"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spans="3:27" ht="14.25" customHeight="1" x14ac:dyDescent="0.3"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spans="3:27" ht="14.25" customHeight="1" x14ac:dyDescent="0.3"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spans="3:27" ht="14.25" customHeight="1" x14ac:dyDescent="0.3"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spans="3:27" ht="14.25" customHeight="1" x14ac:dyDescent="0.3"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spans="3:27" ht="14.25" customHeight="1" x14ac:dyDescent="0.3"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spans="3:27" ht="14.25" customHeight="1" x14ac:dyDescent="0.3"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spans="3:27" ht="14.25" customHeight="1" x14ac:dyDescent="0.3"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spans="3:27" ht="14.25" customHeight="1" x14ac:dyDescent="0.3"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spans="3:27" ht="14.25" customHeight="1" x14ac:dyDescent="0.3"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spans="3:27" ht="14.25" customHeight="1" x14ac:dyDescent="0.3"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spans="3:27" ht="14.25" customHeight="1" x14ac:dyDescent="0.3"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spans="3:27" ht="14.25" customHeight="1" x14ac:dyDescent="0.3"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spans="3:27" ht="14.25" customHeight="1" x14ac:dyDescent="0.3"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spans="3:27" ht="14.25" customHeight="1" x14ac:dyDescent="0.3"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spans="3:27" ht="14.25" customHeight="1" x14ac:dyDescent="0.3"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spans="3:27" ht="14.25" customHeight="1" x14ac:dyDescent="0.3"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spans="3:27" ht="14.25" customHeight="1" x14ac:dyDescent="0.3"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spans="3:27" ht="14.25" customHeight="1" x14ac:dyDescent="0.3"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spans="3:27" ht="14.25" customHeight="1" x14ac:dyDescent="0.3"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spans="3:27" ht="14.25" customHeight="1" x14ac:dyDescent="0.3"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spans="3:27" ht="14.25" customHeight="1" x14ac:dyDescent="0.3"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spans="3:27" ht="14.25" customHeight="1" x14ac:dyDescent="0.3"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spans="3:27" ht="14.25" customHeight="1" x14ac:dyDescent="0.3"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spans="3:27" ht="14.25" customHeight="1" x14ac:dyDescent="0.3"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spans="3:27" ht="14.25" customHeight="1" x14ac:dyDescent="0.3"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spans="3:27" ht="14.25" customHeight="1" x14ac:dyDescent="0.3"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spans="3:27" ht="14.25" customHeight="1" x14ac:dyDescent="0.3"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spans="3:27" ht="14.25" customHeight="1" x14ac:dyDescent="0.3"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spans="3:27" ht="14.25" customHeight="1" x14ac:dyDescent="0.3"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spans="3:27" ht="14.25" customHeight="1" x14ac:dyDescent="0.3"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spans="3:27" ht="14.25" customHeight="1" x14ac:dyDescent="0.3"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spans="3:27" ht="14.25" customHeight="1" x14ac:dyDescent="0.3"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spans="3:27" ht="14.25" customHeight="1" x14ac:dyDescent="0.3"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spans="3:27" ht="14.25" customHeight="1" x14ac:dyDescent="0.3"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spans="3:27" ht="14.25" customHeight="1" x14ac:dyDescent="0.3"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spans="3:27" ht="14.25" customHeight="1" x14ac:dyDescent="0.3"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spans="3:27" ht="14.25" customHeight="1" x14ac:dyDescent="0.3"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spans="3:27" ht="14.25" customHeight="1" x14ac:dyDescent="0.3"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spans="3:27" ht="14.25" customHeight="1" x14ac:dyDescent="0.3"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spans="3:27" ht="14.25" customHeight="1" x14ac:dyDescent="0.3"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spans="3:27" ht="14.25" customHeight="1" x14ac:dyDescent="0.3"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spans="3:27" ht="14.25" customHeight="1" x14ac:dyDescent="0.3"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spans="3:27" ht="14.25" customHeight="1" x14ac:dyDescent="0.3"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spans="3:27" ht="14.25" customHeight="1" x14ac:dyDescent="0.3"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spans="3:27" ht="14.25" customHeight="1" x14ac:dyDescent="0.3"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spans="3:27" ht="14.25" customHeight="1" x14ac:dyDescent="0.3"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spans="3:27" ht="14.25" customHeight="1" x14ac:dyDescent="0.3"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spans="3:27" ht="14.25" customHeight="1" x14ac:dyDescent="0.3"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spans="3:27" ht="14.25" customHeight="1" x14ac:dyDescent="0.3"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spans="3:27" ht="14.25" customHeight="1" x14ac:dyDescent="0.3"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spans="3:27" ht="14.25" customHeight="1" x14ac:dyDescent="0.3"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spans="3:27" ht="14.25" customHeight="1" x14ac:dyDescent="0.3"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spans="3:27" ht="14.25" customHeight="1" x14ac:dyDescent="0.3"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spans="3:27" ht="14.25" customHeight="1" x14ac:dyDescent="0.3"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spans="3:27" ht="14.25" customHeight="1" x14ac:dyDescent="0.3"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spans="3:27" ht="14.25" customHeight="1" x14ac:dyDescent="0.3"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spans="3:27" ht="14.25" customHeight="1" x14ac:dyDescent="0.3"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spans="3:27" ht="14.25" customHeight="1" x14ac:dyDescent="0.3"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spans="3:27" ht="14.25" customHeight="1" x14ac:dyDescent="0.3"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spans="3:27" ht="14.25" customHeight="1" x14ac:dyDescent="0.3"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spans="3:27" ht="14.25" customHeight="1" x14ac:dyDescent="0.3"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spans="3:27" ht="14.25" customHeight="1" x14ac:dyDescent="0.3"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spans="3:27" ht="14.25" customHeight="1" x14ac:dyDescent="0.3"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spans="3:27" ht="14.25" customHeight="1" x14ac:dyDescent="0.3"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spans="3:27" ht="14.25" customHeight="1" x14ac:dyDescent="0.3"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spans="3:27" ht="14.25" customHeight="1" x14ac:dyDescent="0.3"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spans="3:27" ht="14.25" customHeight="1" x14ac:dyDescent="0.3"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spans="3:27" ht="14.25" customHeight="1" x14ac:dyDescent="0.3"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spans="3:27" ht="14.25" customHeight="1" x14ac:dyDescent="0.3"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spans="3:27" ht="14.25" customHeight="1" x14ac:dyDescent="0.3"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spans="3:27" ht="14.25" customHeight="1" x14ac:dyDescent="0.3"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spans="3:27" ht="14.25" customHeight="1" x14ac:dyDescent="0.3"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spans="3:27" ht="14.25" customHeight="1" x14ac:dyDescent="0.3"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spans="3:27" ht="14.25" customHeight="1" x14ac:dyDescent="0.3"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spans="3:27" ht="14.25" customHeight="1" x14ac:dyDescent="0.3"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spans="3:27" ht="14.25" customHeight="1" x14ac:dyDescent="0.3"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spans="3:27" ht="14.25" customHeight="1" x14ac:dyDescent="0.3"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spans="3:27" ht="14.25" customHeight="1" x14ac:dyDescent="0.3"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spans="3:27" ht="14.25" customHeight="1" x14ac:dyDescent="0.3"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spans="3:27" ht="14.25" customHeight="1" x14ac:dyDescent="0.3"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spans="3:27" ht="14.25" customHeight="1" x14ac:dyDescent="0.3"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spans="3:27" ht="14.25" customHeight="1" x14ac:dyDescent="0.3"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spans="3:27" ht="14.25" customHeight="1" x14ac:dyDescent="0.3"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spans="3:27" ht="14.25" customHeight="1" x14ac:dyDescent="0.3"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spans="3:27" ht="14.25" customHeight="1" x14ac:dyDescent="0.3"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spans="3:27" ht="14.25" customHeight="1" x14ac:dyDescent="0.3"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spans="3:27" ht="14.25" customHeight="1" x14ac:dyDescent="0.3"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spans="3:27" ht="14.25" customHeight="1" x14ac:dyDescent="0.3"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spans="3:27" ht="14.25" customHeight="1" x14ac:dyDescent="0.3"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spans="3:27" ht="14.25" customHeight="1" x14ac:dyDescent="0.3"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spans="3:27" ht="14.25" customHeight="1" x14ac:dyDescent="0.3"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spans="3:27" ht="14.25" customHeight="1" x14ac:dyDescent="0.3"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spans="3:27" ht="14.25" customHeight="1" x14ac:dyDescent="0.3"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spans="3:27" ht="14.25" customHeight="1" x14ac:dyDescent="0.3"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spans="3:27" ht="14.25" customHeight="1" x14ac:dyDescent="0.3"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spans="3:27" ht="14.25" customHeight="1" x14ac:dyDescent="0.3"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spans="3:27" ht="14.25" customHeight="1" x14ac:dyDescent="0.3"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spans="3:27" ht="14.25" customHeight="1" x14ac:dyDescent="0.3"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spans="3:27" ht="14.25" customHeight="1" x14ac:dyDescent="0.3"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spans="3:27" ht="14.25" customHeight="1" x14ac:dyDescent="0.3"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spans="3:27" ht="14.25" customHeight="1" x14ac:dyDescent="0.3"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spans="3:27" ht="14.25" customHeight="1" x14ac:dyDescent="0.3"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spans="3:27" ht="14.25" customHeight="1" x14ac:dyDescent="0.3"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spans="3:27" ht="14.25" customHeight="1" x14ac:dyDescent="0.3"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spans="3:27" ht="14.25" customHeight="1" x14ac:dyDescent="0.3"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spans="3:27" ht="14.25" customHeight="1" x14ac:dyDescent="0.3"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spans="3:27" ht="14.25" customHeight="1" x14ac:dyDescent="0.3"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spans="3:27" ht="14.25" customHeight="1" x14ac:dyDescent="0.3"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spans="3:27" ht="14.25" customHeight="1" x14ac:dyDescent="0.3"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spans="3:27" ht="14.25" customHeight="1" x14ac:dyDescent="0.3"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spans="3:27" ht="14.25" customHeight="1" x14ac:dyDescent="0.3"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spans="3:27" ht="14.25" customHeight="1" x14ac:dyDescent="0.3"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spans="3:27" ht="14.25" customHeight="1" x14ac:dyDescent="0.3"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spans="3:27" ht="14.25" customHeight="1" x14ac:dyDescent="0.3"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spans="3:27" ht="14.25" customHeight="1" x14ac:dyDescent="0.3"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spans="3:27" ht="14.25" customHeight="1" x14ac:dyDescent="0.3"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spans="3:27" ht="14.25" customHeight="1" x14ac:dyDescent="0.3"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spans="3:27" ht="14.25" customHeight="1" x14ac:dyDescent="0.3"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spans="3:27" ht="14.25" customHeight="1" x14ac:dyDescent="0.3"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spans="3:27" ht="14.25" customHeight="1" x14ac:dyDescent="0.3"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spans="3:27" ht="14.25" customHeight="1" x14ac:dyDescent="0.3"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spans="3:27" ht="14.25" customHeight="1" x14ac:dyDescent="0.3"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spans="3:27" ht="14.25" customHeight="1" x14ac:dyDescent="0.3"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spans="3:27" ht="14.25" customHeight="1" x14ac:dyDescent="0.3"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spans="3:27" ht="14.25" customHeight="1" x14ac:dyDescent="0.3"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spans="3:27" ht="14.25" customHeight="1" x14ac:dyDescent="0.3"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spans="3:27" ht="14.25" customHeight="1" x14ac:dyDescent="0.3"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spans="3:27" ht="14.25" customHeight="1" x14ac:dyDescent="0.3"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spans="3:27" ht="14.25" customHeight="1" x14ac:dyDescent="0.3"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spans="3:27" ht="14.25" customHeight="1" x14ac:dyDescent="0.3"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spans="3:27" ht="14.25" customHeight="1" x14ac:dyDescent="0.3"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spans="3:27" ht="14.25" customHeight="1" x14ac:dyDescent="0.3"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spans="3:27" ht="14.25" customHeight="1" x14ac:dyDescent="0.3"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spans="3:27" ht="14.25" customHeight="1" x14ac:dyDescent="0.3"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spans="3:27" ht="14.25" customHeight="1" x14ac:dyDescent="0.3"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spans="3:27" ht="14.25" customHeight="1" x14ac:dyDescent="0.3"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spans="3:27" ht="14.25" customHeight="1" x14ac:dyDescent="0.3"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spans="3:27" ht="14.25" customHeight="1" x14ac:dyDescent="0.3"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spans="3:27" ht="14.25" customHeight="1" x14ac:dyDescent="0.3"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spans="3:27" ht="14.25" customHeight="1" x14ac:dyDescent="0.3"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spans="3:27" ht="14.25" customHeight="1" x14ac:dyDescent="0.3"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spans="3:27" ht="14.25" customHeight="1" x14ac:dyDescent="0.3"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spans="3:27" ht="14.25" customHeight="1" x14ac:dyDescent="0.3"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spans="3:27" ht="14.25" customHeight="1" x14ac:dyDescent="0.3"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spans="3:27" ht="14.25" customHeight="1" x14ac:dyDescent="0.3"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spans="3:27" ht="14.25" customHeight="1" x14ac:dyDescent="0.3"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spans="3:27" ht="14.25" customHeight="1" x14ac:dyDescent="0.3"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spans="3:27" ht="14.25" customHeight="1" x14ac:dyDescent="0.3"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spans="3:27" ht="14.25" customHeight="1" x14ac:dyDescent="0.3"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spans="3:27" ht="14.25" customHeight="1" x14ac:dyDescent="0.3"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spans="3:27" ht="14.25" customHeight="1" x14ac:dyDescent="0.3"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spans="3:27" ht="14.25" customHeight="1" x14ac:dyDescent="0.3"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spans="3:27" ht="14.25" customHeight="1" x14ac:dyDescent="0.3"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spans="3:27" ht="14.25" customHeight="1" x14ac:dyDescent="0.3"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spans="3:27" ht="14.25" customHeight="1" x14ac:dyDescent="0.3"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spans="3:27" ht="14.25" customHeight="1" x14ac:dyDescent="0.3"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spans="3:27" ht="14.25" customHeight="1" x14ac:dyDescent="0.3"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spans="3:27" ht="14.25" customHeight="1" x14ac:dyDescent="0.3"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spans="3:27" ht="14.25" customHeight="1" x14ac:dyDescent="0.3"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spans="3:27" ht="14.25" customHeight="1" x14ac:dyDescent="0.3"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spans="3:27" ht="14.25" customHeight="1" x14ac:dyDescent="0.3"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spans="3:27" ht="14.25" customHeight="1" x14ac:dyDescent="0.3"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spans="3:27" ht="14.25" customHeight="1" x14ac:dyDescent="0.3"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spans="3:27" ht="14.25" customHeight="1" x14ac:dyDescent="0.3"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spans="3:27" ht="14.25" customHeight="1" x14ac:dyDescent="0.3"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spans="3:27" ht="14.25" customHeight="1" x14ac:dyDescent="0.3"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spans="3:27" ht="14.25" customHeight="1" x14ac:dyDescent="0.3"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spans="3:27" ht="14.25" customHeight="1" x14ac:dyDescent="0.3"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spans="3:27" ht="14.25" customHeight="1" x14ac:dyDescent="0.3"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spans="3:27" ht="14.25" customHeight="1" x14ac:dyDescent="0.3"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spans="3:27" ht="14.25" customHeight="1" x14ac:dyDescent="0.3"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spans="3:27" ht="14.25" customHeight="1" x14ac:dyDescent="0.3"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spans="3:27" ht="14.25" customHeight="1" x14ac:dyDescent="0.3"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spans="3:27" ht="14.25" customHeight="1" x14ac:dyDescent="0.3"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spans="3:27" ht="14.25" customHeight="1" x14ac:dyDescent="0.3"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spans="3:27" ht="14.25" customHeight="1" x14ac:dyDescent="0.3"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spans="3:27" ht="14.25" customHeight="1" x14ac:dyDescent="0.3"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spans="3:27" ht="14.25" customHeight="1" x14ac:dyDescent="0.3"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spans="3:27" ht="14.25" customHeight="1" x14ac:dyDescent="0.3"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spans="3:27" ht="14.25" customHeight="1" x14ac:dyDescent="0.3"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spans="3:27" ht="14.25" customHeight="1" x14ac:dyDescent="0.3"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spans="3:27" ht="14.25" customHeight="1" x14ac:dyDescent="0.3"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spans="3:27" ht="14.25" customHeight="1" x14ac:dyDescent="0.3"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spans="3:27" ht="14.25" customHeight="1" x14ac:dyDescent="0.3"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spans="3:27" ht="14.25" customHeight="1" x14ac:dyDescent="0.3"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spans="3:27" ht="14.25" customHeight="1" x14ac:dyDescent="0.3"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spans="3:27" ht="14.25" customHeight="1" x14ac:dyDescent="0.3"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spans="3:27" ht="14.25" customHeight="1" x14ac:dyDescent="0.3"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spans="3:27" ht="14.25" customHeight="1" x14ac:dyDescent="0.3"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spans="3:27" ht="14.25" customHeight="1" x14ac:dyDescent="0.3"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spans="3:27" ht="14.25" customHeight="1" x14ac:dyDescent="0.3"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spans="3:27" ht="14.25" customHeight="1" x14ac:dyDescent="0.3"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spans="3:27" ht="14.25" customHeight="1" x14ac:dyDescent="0.3"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spans="3:27" ht="14.25" customHeight="1" x14ac:dyDescent="0.3"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spans="3:27" ht="14.25" customHeight="1" x14ac:dyDescent="0.3"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spans="3:27" ht="14.25" customHeight="1" x14ac:dyDescent="0.3"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spans="3:27" ht="14.25" customHeight="1" x14ac:dyDescent="0.3"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spans="3:27" ht="14.25" customHeight="1" x14ac:dyDescent="0.3"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spans="3:27" ht="14.25" customHeight="1" x14ac:dyDescent="0.3"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spans="3:27" ht="14.25" customHeight="1" x14ac:dyDescent="0.3"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spans="3:27" ht="14.25" customHeight="1" x14ac:dyDescent="0.3"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spans="3:27" ht="14.25" customHeight="1" x14ac:dyDescent="0.3"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spans="3:27" ht="14.25" customHeight="1" x14ac:dyDescent="0.3"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spans="3:27" ht="14.25" customHeight="1" x14ac:dyDescent="0.3"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spans="3:27" ht="14.25" customHeight="1" x14ac:dyDescent="0.3"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spans="3:27" ht="14.25" customHeight="1" x14ac:dyDescent="0.3"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spans="3:27" ht="14.25" customHeight="1" x14ac:dyDescent="0.3"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spans="3:27" ht="14.25" customHeight="1" x14ac:dyDescent="0.3"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spans="3:27" ht="14.25" customHeight="1" x14ac:dyDescent="0.3"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spans="3:27" ht="14.25" customHeight="1" x14ac:dyDescent="0.3"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spans="3:27" ht="14.25" customHeight="1" x14ac:dyDescent="0.3"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spans="3:27" ht="14.25" customHeight="1" x14ac:dyDescent="0.3"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spans="3:27" ht="14.25" customHeight="1" x14ac:dyDescent="0.3"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spans="3:27" ht="14.25" customHeight="1" x14ac:dyDescent="0.3"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spans="3:27" ht="14.25" customHeight="1" x14ac:dyDescent="0.3"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spans="3:27" ht="14.25" customHeight="1" x14ac:dyDescent="0.3"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spans="3:27" ht="14.25" customHeight="1" x14ac:dyDescent="0.3"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spans="3:27" ht="14.25" customHeight="1" x14ac:dyDescent="0.3"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spans="3:27" ht="14.25" customHeight="1" x14ac:dyDescent="0.3"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spans="3:27" ht="14.25" customHeight="1" x14ac:dyDescent="0.3"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spans="3:27" ht="14.25" customHeight="1" x14ac:dyDescent="0.3"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spans="3:27" ht="14.25" customHeight="1" x14ac:dyDescent="0.3"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spans="3:27" ht="14.25" customHeight="1" x14ac:dyDescent="0.3"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spans="3:27" ht="14.25" customHeight="1" x14ac:dyDescent="0.3"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spans="3:27" ht="14.25" customHeight="1" x14ac:dyDescent="0.3"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spans="3:27" ht="14.25" customHeight="1" x14ac:dyDescent="0.3"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spans="3:27" ht="14.25" customHeight="1" x14ac:dyDescent="0.3"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spans="3:27" ht="14.25" customHeight="1" x14ac:dyDescent="0.3"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spans="3:27" ht="14.25" customHeight="1" x14ac:dyDescent="0.3"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spans="3:27" ht="14.25" customHeight="1" x14ac:dyDescent="0.3"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spans="3:27" ht="14.25" customHeight="1" x14ac:dyDescent="0.3"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spans="3:27" ht="14.25" customHeight="1" x14ac:dyDescent="0.3"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spans="3:27" ht="14.25" customHeight="1" x14ac:dyDescent="0.3"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spans="3:27" ht="14.25" customHeight="1" x14ac:dyDescent="0.3"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spans="3:27" ht="14.25" customHeight="1" x14ac:dyDescent="0.3"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spans="3:27" ht="14.25" customHeight="1" x14ac:dyDescent="0.3"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spans="3:27" ht="14.25" customHeight="1" x14ac:dyDescent="0.3"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spans="3:27" ht="14.25" customHeight="1" x14ac:dyDescent="0.3"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spans="3:27" ht="14.25" customHeight="1" x14ac:dyDescent="0.3"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spans="3:27" ht="14.25" customHeight="1" x14ac:dyDescent="0.3"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spans="3:27" ht="14.25" customHeight="1" x14ac:dyDescent="0.3"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spans="3:27" ht="14.25" customHeight="1" x14ac:dyDescent="0.3"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spans="3:27" ht="14.25" customHeight="1" x14ac:dyDescent="0.3"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spans="3:27" ht="14.25" customHeight="1" x14ac:dyDescent="0.3"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spans="3:27" ht="14.25" customHeight="1" x14ac:dyDescent="0.3"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spans="3:27" ht="14.25" customHeight="1" x14ac:dyDescent="0.3"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spans="3:27" ht="14.25" customHeight="1" x14ac:dyDescent="0.3"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spans="3:27" ht="14.25" customHeight="1" x14ac:dyDescent="0.3"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spans="3:27" ht="14.25" customHeight="1" x14ac:dyDescent="0.3"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spans="3:27" ht="14.25" customHeight="1" x14ac:dyDescent="0.3"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spans="3:27" ht="14.25" customHeight="1" x14ac:dyDescent="0.3"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spans="3:27" ht="14.25" customHeight="1" x14ac:dyDescent="0.3"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spans="3:27" ht="14.25" customHeight="1" x14ac:dyDescent="0.3"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spans="3:27" ht="14.25" customHeight="1" x14ac:dyDescent="0.3"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spans="3:27" ht="14.25" customHeight="1" x14ac:dyDescent="0.3"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spans="3:27" ht="14.25" customHeight="1" x14ac:dyDescent="0.3"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spans="3:27" ht="14.25" customHeight="1" x14ac:dyDescent="0.3"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spans="3:27" ht="14.25" customHeight="1" x14ac:dyDescent="0.3"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spans="3:27" ht="14.25" customHeight="1" x14ac:dyDescent="0.3"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spans="3:27" ht="14.25" customHeight="1" x14ac:dyDescent="0.3"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spans="3:27" ht="14.25" customHeight="1" x14ac:dyDescent="0.3"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spans="3:27" ht="14.25" customHeight="1" x14ac:dyDescent="0.3"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spans="3:27" ht="14.25" customHeight="1" x14ac:dyDescent="0.3"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spans="3:27" ht="14.25" customHeight="1" x14ac:dyDescent="0.3"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spans="3:27" ht="14.25" customHeight="1" x14ac:dyDescent="0.3"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spans="3:27" ht="14.25" customHeight="1" x14ac:dyDescent="0.3"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spans="3:27" ht="14.25" customHeight="1" x14ac:dyDescent="0.3"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spans="3:27" ht="14.25" customHeight="1" x14ac:dyDescent="0.3"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spans="3:27" ht="14.25" customHeight="1" x14ac:dyDescent="0.3"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spans="3:27" ht="14.25" customHeight="1" x14ac:dyDescent="0.3"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spans="3:27" ht="14.25" customHeight="1" x14ac:dyDescent="0.3"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spans="3:27" ht="14.25" customHeight="1" x14ac:dyDescent="0.3"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spans="3:27" ht="14.25" customHeight="1" x14ac:dyDescent="0.3"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spans="3:27" ht="14.25" customHeight="1" x14ac:dyDescent="0.3"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spans="3:27" ht="14.25" customHeight="1" x14ac:dyDescent="0.3"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spans="3:27" ht="14.25" customHeight="1" x14ac:dyDescent="0.3"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spans="3:27" ht="14.25" customHeight="1" x14ac:dyDescent="0.3"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spans="3:27" ht="14.25" customHeight="1" x14ac:dyDescent="0.3"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spans="3:27" ht="14.25" customHeight="1" x14ac:dyDescent="0.3"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spans="3:27" ht="14.25" customHeight="1" x14ac:dyDescent="0.3"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spans="3:27" ht="14.25" customHeight="1" x14ac:dyDescent="0.3"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spans="3:27" ht="14.25" customHeight="1" x14ac:dyDescent="0.3"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spans="3:27" ht="14.25" customHeight="1" x14ac:dyDescent="0.3"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spans="3:27" ht="14.25" customHeight="1" x14ac:dyDescent="0.3"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spans="3:27" ht="14.25" customHeight="1" x14ac:dyDescent="0.3"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spans="3:27" ht="14.25" customHeight="1" x14ac:dyDescent="0.3"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spans="3:27" ht="14.25" customHeight="1" x14ac:dyDescent="0.3"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spans="3:27" ht="14.25" customHeight="1" x14ac:dyDescent="0.3"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spans="3:27" ht="14.25" customHeight="1" x14ac:dyDescent="0.3"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spans="3:27" ht="14.25" customHeight="1" x14ac:dyDescent="0.3"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spans="3:27" ht="14.25" customHeight="1" x14ac:dyDescent="0.3"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spans="3:27" ht="14.25" customHeight="1" x14ac:dyDescent="0.3"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spans="3:27" ht="14.25" customHeight="1" x14ac:dyDescent="0.3"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spans="3:27" ht="14.25" customHeight="1" x14ac:dyDescent="0.3"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spans="3:27" ht="14.25" customHeight="1" x14ac:dyDescent="0.3"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spans="3:27" ht="14.25" customHeight="1" x14ac:dyDescent="0.3"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spans="3:27" ht="14.25" customHeight="1" x14ac:dyDescent="0.3"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spans="3:27" ht="14.25" customHeight="1" x14ac:dyDescent="0.3"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spans="3:27" ht="14.25" customHeight="1" x14ac:dyDescent="0.3"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spans="3:27" ht="14.25" customHeight="1" x14ac:dyDescent="0.3"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spans="3:27" ht="14.25" customHeight="1" x14ac:dyDescent="0.3"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spans="3:27" ht="14.25" customHeight="1" x14ac:dyDescent="0.3"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spans="3:27" ht="14.25" customHeight="1" x14ac:dyDescent="0.3"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spans="3:27" ht="14.25" customHeight="1" x14ac:dyDescent="0.3"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spans="3:27" ht="14.25" customHeight="1" x14ac:dyDescent="0.3"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spans="3:27" ht="14.25" customHeight="1" x14ac:dyDescent="0.3"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spans="3:27" ht="14.25" customHeight="1" x14ac:dyDescent="0.3"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spans="3:27" ht="14.25" customHeight="1" x14ac:dyDescent="0.3"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spans="3:27" ht="14.25" customHeight="1" x14ac:dyDescent="0.3"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spans="3:27" ht="14.25" customHeight="1" x14ac:dyDescent="0.3"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spans="3:27" ht="14.25" customHeight="1" x14ac:dyDescent="0.3"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spans="3:27" ht="14.25" customHeight="1" x14ac:dyDescent="0.3"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spans="3:27" ht="14.25" customHeight="1" x14ac:dyDescent="0.3"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spans="3:27" ht="14.25" customHeight="1" x14ac:dyDescent="0.3"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spans="3:27" ht="14.25" customHeight="1" x14ac:dyDescent="0.3"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spans="3:27" ht="14.25" customHeight="1" x14ac:dyDescent="0.3"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spans="3:27" ht="14.25" customHeight="1" x14ac:dyDescent="0.3"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spans="3:27" ht="14.25" customHeight="1" x14ac:dyDescent="0.3"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spans="3:27" ht="14.25" customHeight="1" x14ac:dyDescent="0.3"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spans="3:27" ht="14.25" customHeight="1" x14ac:dyDescent="0.3"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spans="3:27" ht="14.25" customHeight="1" x14ac:dyDescent="0.3"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spans="3:27" ht="14.25" customHeight="1" x14ac:dyDescent="0.3"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spans="3:27" ht="14.25" customHeight="1" x14ac:dyDescent="0.3"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spans="3:27" ht="14.25" customHeight="1" x14ac:dyDescent="0.3"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spans="3:27" ht="14.25" customHeight="1" x14ac:dyDescent="0.3"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spans="3:27" ht="14.25" customHeight="1" x14ac:dyDescent="0.3"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spans="3:27" ht="14.25" customHeight="1" x14ac:dyDescent="0.3"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spans="3:27" ht="14.25" customHeight="1" x14ac:dyDescent="0.3"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spans="3:27" ht="14.25" customHeight="1" x14ac:dyDescent="0.3"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spans="3:27" ht="14.25" customHeight="1" x14ac:dyDescent="0.3"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spans="3:27" ht="14.25" customHeight="1" x14ac:dyDescent="0.3"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spans="3:27" ht="14.25" customHeight="1" x14ac:dyDescent="0.3"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spans="3:27" ht="14.25" customHeight="1" x14ac:dyDescent="0.3"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spans="3:27" ht="14.25" customHeight="1" x14ac:dyDescent="0.3"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spans="3:27" ht="14.25" customHeight="1" x14ac:dyDescent="0.3"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spans="3:27" ht="14.25" customHeight="1" x14ac:dyDescent="0.3"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spans="3:27" ht="14.25" customHeight="1" x14ac:dyDescent="0.3"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spans="3:27" ht="14.25" customHeight="1" x14ac:dyDescent="0.3"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spans="3:27" ht="14.25" customHeight="1" x14ac:dyDescent="0.3"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spans="3:27" ht="14.25" customHeight="1" x14ac:dyDescent="0.3"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spans="3:27" ht="14.25" customHeight="1" x14ac:dyDescent="0.3"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spans="3:27" ht="14.25" customHeight="1" x14ac:dyDescent="0.3"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spans="3:27" ht="14.25" customHeight="1" x14ac:dyDescent="0.3"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spans="3:27" ht="14.25" customHeight="1" x14ac:dyDescent="0.3"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spans="3:27" ht="14.25" customHeight="1" x14ac:dyDescent="0.3"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spans="3:27" ht="14.25" customHeight="1" x14ac:dyDescent="0.3"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spans="3:27" ht="14.25" customHeight="1" x14ac:dyDescent="0.3"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spans="3:27" ht="14.25" customHeight="1" x14ac:dyDescent="0.3"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spans="3:27" ht="14.25" customHeight="1" x14ac:dyDescent="0.3"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spans="3:27" ht="14.25" customHeight="1" x14ac:dyDescent="0.3"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spans="3:27" ht="14.25" customHeight="1" x14ac:dyDescent="0.3"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spans="3:27" ht="14.25" customHeight="1" x14ac:dyDescent="0.3"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spans="3:27" ht="14.25" customHeight="1" x14ac:dyDescent="0.3"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spans="3:27" ht="14.25" customHeight="1" x14ac:dyDescent="0.3"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spans="3:27" ht="14.25" customHeight="1" x14ac:dyDescent="0.3"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spans="3:27" ht="14.25" customHeight="1" x14ac:dyDescent="0.3"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spans="3:27" ht="14.25" customHeight="1" x14ac:dyDescent="0.3"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spans="3:27" ht="14.25" customHeight="1" x14ac:dyDescent="0.3"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spans="3:27" ht="14.25" customHeight="1" x14ac:dyDescent="0.3"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spans="3:27" ht="14.25" customHeight="1" x14ac:dyDescent="0.3"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spans="3:27" ht="14.25" customHeight="1" x14ac:dyDescent="0.3"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spans="3:27" ht="14.25" customHeight="1" x14ac:dyDescent="0.3"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spans="3:27" ht="14.25" customHeight="1" x14ac:dyDescent="0.3"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spans="3:27" ht="14.25" customHeight="1" x14ac:dyDescent="0.3"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spans="3:27" ht="14.25" customHeight="1" x14ac:dyDescent="0.3"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spans="3:27" ht="14.25" customHeight="1" x14ac:dyDescent="0.3"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spans="3:27" ht="14.25" customHeight="1" x14ac:dyDescent="0.3"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spans="3:27" ht="14.25" customHeight="1" x14ac:dyDescent="0.3"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spans="3:27" ht="14.25" customHeight="1" x14ac:dyDescent="0.3"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spans="3:27" ht="14.25" customHeight="1" x14ac:dyDescent="0.3"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spans="3:27" ht="14.25" customHeight="1" x14ac:dyDescent="0.3"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spans="3:27" ht="14.25" customHeight="1" x14ac:dyDescent="0.3"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spans="3:27" ht="14.25" customHeight="1" x14ac:dyDescent="0.3"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spans="3:27" ht="14.25" customHeight="1" x14ac:dyDescent="0.3"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spans="3:27" ht="14.25" customHeight="1" x14ac:dyDescent="0.3"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spans="3:27" ht="14.25" customHeight="1" x14ac:dyDescent="0.3"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spans="3:27" ht="14.25" customHeight="1" x14ac:dyDescent="0.3"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spans="3:27" ht="14.25" customHeight="1" x14ac:dyDescent="0.3"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spans="3:27" ht="14.25" customHeight="1" x14ac:dyDescent="0.3"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spans="3:27" ht="14.25" customHeight="1" x14ac:dyDescent="0.3"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spans="3:27" ht="14.25" customHeight="1" x14ac:dyDescent="0.3"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spans="3:27" ht="14.25" customHeight="1" x14ac:dyDescent="0.3"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spans="3:27" ht="14.25" customHeight="1" x14ac:dyDescent="0.3"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spans="3:27" ht="14.25" customHeight="1" x14ac:dyDescent="0.3"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spans="3:27" ht="14.25" customHeight="1" x14ac:dyDescent="0.3"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spans="3:27" ht="14.25" customHeight="1" x14ac:dyDescent="0.3"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spans="3:27" ht="14.25" customHeight="1" x14ac:dyDescent="0.3"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spans="3:27" ht="14.25" customHeight="1" x14ac:dyDescent="0.3"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spans="3:27" ht="14.25" customHeight="1" x14ac:dyDescent="0.3"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spans="3:27" ht="14.25" customHeight="1" x14ac:dyDescent="0.3"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spans="3:27" ht="14.25" customHeight="1" x14ac:dyDescent="0.3"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spans="3:27" ht="14.25" customHeight="1" x14ac:dyDescent="0.3"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spans="3:27" ht="14.25" customHeight="1" x14ac:dyDescent="0.3"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spans="3:27" ht="14.25" customHeight="1" x14ac:dyDescent="0.3"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spans="3:27" ht="14.25" customHeight="1" x14ac:dyDescent="0.3"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spans="3:27" ht="14.25" customHeight="1" x14ac:dyDescent="0.3"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spans="3:27" ht="14.25" customHeight="1" x14ac:dyDescent="0.3"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spans="3:27" ht="14.25" customHeight="1" x14ac:dyDescent="0.3"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spans="3:27" ht="14.25" customHeight="1" x14ac:dyDescent="0.3"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spans="3:27" ht="14.25" customHeight="1" x14ac:dyDescent="0.3"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spans="3:27" ht="14.25" customHeight="1" x14ac:dyDescent="0.3"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spans="3:27" ht="14.25" customHeight="1" x14ac:dyDescent="0.3"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spans="3:27" ht="14.25" customHeight="1" x14ac:dyDescent="0.3"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spans="3:27" ht="14.25" customHeight="1" x14ac:dyDescent="0.3"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spans="3:27" ht="14.25" customHeight="1" x14ac:dyDescent="0.3"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spans="3:27" ht="14.25" customHeight="1" x14ac:dyDescent="0.3"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spans="3:27" ht="14.25" customHeight="1" x14ac:dyDescent="0.3"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spans="3:27" ht="14.25" customHeight="1" x14ac:dyDescent="0.3"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spans="3:27" ht="14.25" customHeight="1" x14ac:dyDescent="0.3"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spans="3:27" ht="14.25" customHeight="1" x14ac:dyDescent="0.3"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spans="3:27" ht="14.25" customHeight="1" x14ac:dyDescent="0.3"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spans="3:27" ht="14.25" customHeight="1" x14ac:dyDescent="0.3"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spans="3:27" ht="14.25" customHeight="1" x14ac:dyDescent="0.3"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spans="3:27" ht="14.25" customHeight="1" x14ac:dyDescent="0.3"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spans="3:27" ht="14.25" customHeight="1" x14ac:dyDescent="0.3"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spans="3:27" ht="14.25" customHeight="1" x14ac:dyDescent="0.3"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spans="3:27" ht="14.25" customHeight="1" x14ac:dyDescent="0.3"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spans="3:27" ht="14.25" customHeight="1" x14ac:dyDescent="0.3"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spans="3:27" ht="14.25" customHeight="1" x14ac:dyDescent="0.3"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spans="3:27" ht="14.25" customHeight="1" x14ac:dyDescent="0.3"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spans="3:27" ht="14.25" customHeight="1" x14ac:dyDescent="0.3"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spans="3:27" ht="14.25" customHeight="1" x14ac:dyDescent="0.3"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spans="3:27" ht="14.25" customHeight="1" x14ac:dyDescent="0.3"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spans="3:27" ht="14.25" customHeight="1" x14ac:dyDescent="0.3"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spans="3:27" ht="14.25" customHeight="1" x14ac:dyDescent="0.3"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spans="3:27" ht="14.25" customHeight="1" x14ac:dyDescent="0.3"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spans="3:27" ht="14.25" customHeight="1" x14ac:dyDescent="0.3"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spans="3:27" ht="14.25" customHeight="1" x14ac:dyDescent="0.3"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spans="3:27" ht="14.25" customHeight="1" x14ac:dyDescent="0.3"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spans="3:27" ht="14.25" customHeight="1" x14ac:dyDescent="0.3"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spans="3:27" ht="14.25" customHeight="1" x14ac:dyDescent="0.3"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spans="3:27" ht="14.25" customHeight="1" x14ac:dyDescent="0.3"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spans="3:27" ht="14.25" customHeight="1" x14ac:dyDescent="0.3"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spans="3:27" ht="14.25" customHeight="1" x14ac:dyDescent="0.3"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spans="3:27" ht="14.25" customHeight="1" x14ac:dyDescent="0.3"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spans="3:27" ht="14.25" customHeight="1" x14ac:dyDescent="0.3"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spans="3:27" ht="14.25" customHeight="1" x14ac:dyDescent="0.3"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spans="3:27" ht="14.25" customHeight="1" x14ac:dyDescent="0.3"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spans="3:27" ht="14.25" customHeight="1" x14ac:dyDescent="0.3"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spans="3:27" ht="14.25" customHeight="1" x14ac:dyDescent="0.3"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spans="3:27" ht="14.25" customHeight="1" x14ac:dyDescent="0.3"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spans="3:27" ht="14.25" customHeight="1" x14ac:dyDescent="0.3"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spans="3:27" ht="14.25" customHeight="1" x14ac:dyDescent="0.3"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spans="3:27" ht="14.25" customHeight="1" x14ac:dyDescent="0.3"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spans="3:27" ht="14.25" customHeight="1" x14ac:dyDescent="0.3"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spans="3:27" ht="14.25" customHeight="1" x14ac:dyDescent="0.3"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spans="3:27" ht="14.25" customHeight="1" x14ac:dyDescent="0.3"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spans="3:27" ht="14.25" customHeight="1" x14ac:dyDescent="0.3"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spans="3:27" ht="14.25" customHeight="1" x14ac:dyDescent="0.3"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spans="3:27" ht="14.25" customHeight="1" x14ac:dyDescent="0.3"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spans="3:27" ht="14.25" customHeight="1" x14ac:dyDescent="0.3"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spans="3:27" ht="14.25" customHeight="1" x14ac:dyDescent="0.3"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spans="3:27" ht="14.25" customHeight="1" x14ac:dyDescent="0.3"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spans="3:27" ht="14.25" customHeight="1" x14ac:dyDescent="0.3"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spans="3:27" ht="14.25" customHeight="1" x14ac:dyDescent="0.3"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spans="3:27" ht="14.25" customHeight="1" x14ac:dyDescent="0.3"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spans="3:27" ht="14.25" customHeight="1" x14ac:dyDescent="0.3"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spans="3:27" ht="14.25" customHeight="1" x14ac:dyDescent="0.3"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spans="3:27" ht="14.25" customHeight="1" x14ac:dyDescent="0.3"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spans="3:27" ht="14.25" customHeight="1" x14ac:dyDescent="0.3"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spans="3:27" ht="14.25" customHeight="1" x14ac:dyDescent="0.3"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spans="3:27" ht="14.25" customHeight="1" x14ac:dyDescent="0.3"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spans="3:27" ht="14.25" customHeight="1" x14ac:dyDescent="0.3"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spans="3:27" ht="14.25" customHeight="1" x14ac:dyDescent="0.3"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spans="3:27" ht="14.25" customHeight="1" x14ac:dyDescent="0.3"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spans="3:27" ht="14.25" customHeight="1" x14ac:dyDescent="0.3"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spans="3:27" ht="14.25" customHeight="1" x14ac:dyDescent="0.3"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spans="3:27" ht="14.25" customHeight="1" x14ac:dyDescent="0.3"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spans="3:27" ht="14.25" customHeight="1" x14ac:dyDescent="0.3"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spans="3:27" ht="14.25" customHeight="1" x14ac:dyDescent="0.3"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spans="3:27" ht="14.25" customHeight="1" x14ac:dyDescent="0.3"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spans="3:27" ht="14.25" customHeight="1" x14ac:dyDescent="0.3"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spans="3:27" ht="14.25" customHeight="1" x14ac:dyDescent="0.3"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spans="3:27" ht="14.25" customHeight="1" x14ac:dyDescent="0.3"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spans="3:27" ht="14.25" customHeight="1" x14ac:dyDescent="0.3"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spans="3:27" ht="14.25" customHeight="1" x14ac:dyDescent="0.3"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spans="3:27" ht="14.25" customHeight="1" x14ac:dyDescent="0.3"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spans="3:27" ht="14.25" customHeight="1" x14ac:dyDescent="0.3"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spans="3:27" ht="14.25" customHeight="1" x14ac:dyDescent="0.3"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spans="3:27" ht="14.25" customHeight="1" x14ac:dyDescent="0.3"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spans="3:27" ht="14.25" customHeight="1" x14ac:dyDescent="0.3"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spans="3:27" ht="14.25" customHeight="1" x14ac:dyDescent="0.3"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spans="3:27" ht="14.25" customHeight="1" x14ac:dyDescent="0.3"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spans="3:27" ht="14.25" customHeight="1" x14ac:dyDescent="0.3"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spans="3:27" ht="14.25" customHeight="1" x14ac:dyDescent="0.3"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spans="3:27" ht="14.25" customHeight="1" x14ac:dyDescent="0.3"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spans="3:27" ht="14.25" customHeight="1" x14ac:dyDescent="0.3"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spans="3:27" ht="14.25" customHeight="1" x14ac:dyDescent="0.3"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spans="3:27" ht="14.25" customHeight="1" x14ac:dyDescent="0.3"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spans="3:27" ht="14.25" customHeight="1" x14ac:dyDescent="0.3"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spans="3:27" ht="14.25" customHeight="1" x14ac:dyDescent="0.3"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spans="3:27" ht="14.25" customHeight="1" x14ac:dyDescent="0.3"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spans="3:27" ht="14.25" customHeight="1" x14ac:dyDescent="0.3"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spans="3:27" ht="14.25" customHeight="1" x14ac:dyDescent="0.3"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spans="3:27" ht="14.25" customHeight="1" x14ac:dyDescent="0.3"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spans="3:27" ht="14.25" customHeight="1" x14ac:dyDescent="0.3"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spans="3:27" ht="14.25" customHeight="1" x14ac:dyDescent="0.3"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spans="3:27" ht="14.25" customHeight="1" x14ac:dyDescent="0.3"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spans="3:27" ht="14.25" customHeight="1" x14ac:dyDescent="0.3"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spans="3:27" ht="14.25" customHeight="1" x14ac:dyDescent="0.3"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spans="3:27" ht="14.25" customHeight="1" x14ac:dyDescent="0.3"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spans="3:27" ht="14.25" customHeight="1" x14ac:dyDescent="0.3"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spans="3:27" ht="14.25" customHeight="1" x14ac:dyDescent="0.3"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spans="3:27" ht="14.25" customHeight="1" x14ac:dyDescent="0.3"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spans="3:27" ht="14.25" customHeight="1" x14ac:dyDescent="0.3"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spans="3:27" ht="14.25" customHeight="1" x14ac:dyDescent="0.3"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spans="3:27" ht="14.25" customHeight="1" x14ac:dyDescent="0.3"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spans="3:27" ht="14.25" customHeight="1" x14ac:dyDescent="0.3"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spans="3:27" ht="14.25" customHeight="1" x14ac:dyDescent="0.3"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spans="3:27" ht="14.25" customHeight="1" x14ac:dyDescent="0.3"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spans="3:27" ht="14.25" customHeight="1" x14ac:dyDescent="0.3"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spans="3:27" ht="14.25" customHeight="1" x14ac:dyDescent="0.3"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spans="3:27" ht="14.25" customHeight="1" x14ac:dyDescent="0.3"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spans="3:27" ht="14.25" customHeight="1" x14ac:dyDescent="0.3"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spans="3:27" ht="14.25" customHeight="1" x14ac:dyDescent="0.3"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spans="3:27" ht="14.25" customHeight="1" x14ac:dyDescent="0.3"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spans="3:27" ht="14.25" customHeight="1" x14ac:dyDescent="0.3"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spans="3:27" ht="14.25" customHeight="1" x14ac:dyDescent="0.3"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spans="3:27" ht="14.25" customHeight="1" x14ac:dyDescent="0.3"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spans="3:27" ht="14.25" customHeight="1" x14ac:dyDescent="0.3"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spans="3:27" ht="14.25" customHeight="1" x14ac:dyDescent="0.3"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spans="3:27" ht="14.25" customHeight="1" x14ac:dyDescent="0.3"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spans="3:27" ht="14.25" customHeight="1" x14ac:dyDescent="0.3"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spans="3:27" ht="14.25" customHeight="1" x14ac:dyDescent="0.3"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spans="3:27" ht="14.25" customHeight="1" x14ac:dyDescent="0.3"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spans="3:27" ht="14.25" customHeight="1" x14ac:dyDescent="0.3"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spans="3:27" ht="14.25" customHeight="1" x14ac:dyDescent="0.3"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spans="3:27" ht="14.25" customHeight="1" x14ac:dyDescent="0.3"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spans="3:27" ht="14.25" customHeight="1" x14ac:dyDescent="0.3"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spans="3:27" ht="14.25" customHeight="1" x14ac:dyDescent="0.3"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spans="3:27" ht="14.25" customHeight="1" x14ac:dyDescent="0.3"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spans="3:27" ht="14.25" customHeight="1" x14ac:dyDescent="0.3"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spans="3:27" ht="14.25" customHeight="1" x14ac:dyDescent="0.3"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spans="3:27" ht="14.25" customHeight="1" x14ac:dyDescent="0.3"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spans="3:27" ht="14.25" customHeight="1" x14ac:dyDescent="0.3"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spans="3:27" ht="14.25" customHeight="1" x14ac:dyDescent="0.3"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spans="3:27" ht="14.25" customHeight="1" x14ac:dyDescent="0.3"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spans="3:27" ht="14.25" customHeight="1" x14ac:dyDescent="0.3"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spans="3:27" ht="14.25" customHeight="1" x14ac:dyDescent="0.3"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spans="3:27" ht="14.25" customHeight="1" x14ac:dyDescent="0.3"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spans="3:27" ht="14.25" customHeight="1" x14ac:dyDescent="0.3"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spans="3:27" ht="14.25" customHeight="1" x14ac:dyDescent="0.3"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spans="3:27" ht="14.25" customHeight="1" x14ac:dyDescent="0.3"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spans="3:27" ht="14.25" customHeight="1" x14ac:dyDescent="0.3"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spans="3:27" ht="14.25" customHeight="1" x14ac:dyDescent="0.3"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spans="3:27" ht="14.25" customHeight="1" x14ac:dyDescent="0.3"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spans="3:27" ht="14.25" customHeight="1" x14ac:dyDescent="0.3"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spans="3:27" ht="14.25" customHeight="1" x14ac:dyDescent="0.3"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spans="3:27" ht="14.25" customHeight="1" x14ac:dyDescent="0.3"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spans="3:27" ht="14.25" customHeight="1" x14ac:dyDescent="0.3"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spans="3:27" ht="14.25" customHeight="1" x14ac:dyDescent="0.3"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spans="3:27" ht="14.25" customHeight="1" x14ac:dyDescent="0.3"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spans="3:27" ht="14.25" customHeight="1" x14ac:dyDescent="0.3"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spans="3:27" ht="14.25" customHeight="1" x14ac:dyDescent="0.3"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spans="3:27" ht="14.25" customHeight="1" x14ac:dyDescent="0.3"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spans="3:27" ht="14.25" customHeight="1" x14ac:dyDescent="0.3"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spans="3:27" ht="14.25" customHeight="1" x14ac:dyDescent="0.3"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spans="3:27" ht="14.25" customHeight="1" x14ac:dyDescent="0.3"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spans="3:27" ht="14.25" customHeight="1" x14ac:dyDescent="0.3"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spans="3:27" ht="14.25" customHeight="1" x14ac:dyDescent="0.3"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spans="3:27" ht="14.25" customHeight="1" x14ac:dyDescent="0.3"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spans="3:27" ht="14.25" customHeight="1" x14ac:dyDescent="0.3"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spans="3:27" ht="14.25" customHeight="1" x14ac:dyDescent="0.3"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spans="3:27" ht="14.25" customHeight="1" x14ac:dyDescent="0.3"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spans="3:27" ht="14.25" customHeight="1" x14ac:dyDescent="0.3"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spans="3:27" ht="14.25" customHeight="1" x14ac:dyDescent="0.3"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spans="3:27" ht="14.25" customHeight="1" x14ac:dyDescent="0.3"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spans="3:27" ht="14.25" customHeight="1" x14ac:dyDescent="0.3"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spans="3:27" ht="14.25" customHeight="1" x14ac:dyDescent="0.3"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spans="3:27" ht="14.25" customHeight="1" x14ac:dyDescent="0.3"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spans="3:27" ht="14.25" customHeight="1" x14ac:dyDescent="0.3"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spans="3:27" ht="14.25" customHeight="1" x14ac:dyDescent="0.3"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spans="3:27" ht="14.25" customHeight="1" x14ac:dyDescent="0.3"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spans="3:27" ht="14.25" customHeight="1" x14ac:dyDescent="0.3"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spans="3:27" ht="14.25" customHeight="1" x14ac:dyDescent="0.3"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spans="3:27" ht="14.25" customHeight="1" x14ac:dyDescent="0.3"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spans="3:27" ht="14.25" customHeight="1" x14ac:dyDescent="0.3"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spans="3:27" ht="14.25" customHeight="1" x14ac:dyDescent="0.3"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spans="3:27" ht="14.25" customHeight="1" x14ac:dyDescent="0.3"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spans="3:27" ht="14.25" customHeight="1" x14ac:dyDescent="0.3"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spans="3:27" ht="14.25" customHeight="1" x14ac:dyDescent="0.3"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spans="3:27" ht="14.25" customHeight="1" x14ac:dyDescent="0.3"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spans="3:27" ht="14.25" customHeight="1" x14ac:dyDescent="0.3"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</sheetData>
  <pageMargins left="0.7" right="0.7" top="0.75" bottom="0.75" header="0" footer="0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211fce-31e8-4234-8052-75c9feeb7acf">
      <Terms xmlns="http://schemas.microsoft.com/office/infopath/2007/PartnerControls"/>
    </lcf76f155ced4ddcb4097134ff3c332f>
    <TaxCatchAll xmlns="c9a84f97-1ec2-49c7-843a-b9677191dbe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43B90F469D674D8C70711F8DF942E8" ma:contentTypeVersion="13" ma:contentTypeDescription="Crear nuevo documento." ma:contentTypeScope="" ma:versionID="e1e8f893fb512520dcf0824207ad937a">
  <xsd:schema xmlns:xsd="http://www.w3.org/2001/XMLSchema" xmlns:xs="http://www.w3.org/2001/XMLSchema" xmlns:p="http://schemas.microsoft.com/office/2006/metadata/properties" xmlns:ns2="60211fce-31e8-4234-8052-75c9feeb7acf" xmlns:ns3="c9a84f97-1ec2-49c7-843a-b9677191dbef" targetNamespace="http://schemas.microsoft.com/office/2006/metadata/properties" ma:root="true" ma:fieldsID="cf678d0c677d50e54ec031ad8f7b12e2" ns2:_="" ns3:_="">
    <xsd:import namespace="60211fce-31e8-4234-8052-75c9feeb7acf"/>
    <xsd:import namespace="c9a84f97-1ec2-49c7-843a-b9677191db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11fce-31e8-4234-8052-75c9feeb7a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84f97-1ec2-49c7-843a-b9677191db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f34e13-d9c0-4cff-8105-fdfe2f9c3230}" ma:internalName="TaxCatchAll" ma:showField="CatchAllData" ma:web="c9a84f97-1ec2-49c7-843a-b9677191db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725F82-B34D-4497-82BF-BCE82AA948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EC21E2-5A42-45CC-AF6F-0A773A59B895}">
  <ds:schemaRefs>
    <ds:schemaRef ds:uri="http://schemas.microsoft.com/office/2006/metadata/properties"/>
    <ds:schemaRef ds:uri="http://schemas.microsoft.com/office/infopath/2007/PartnerControls"/>
    <ds:schemaRef ds:uri="60211fce-31e8-4234-8052-75c9feeb7acf"/>
    <ds:schemaRef ds:uri="c9a84f97-1ec2-49c7-843a-b9677191dbef"/>
  </ds:schemaRefs>
</ds:datastoreItem>
</file>

<file path=customXml/itemProps3.xml><?xml version="1.0" encoding="utf-8"?>
<ds:datastoreItem xmlns:ds="http://schemas.openxmlformats.org/officeDocument/2006/customXml" ds:itemID="{A29E3BA9-A5FD-4698-893E-ACFBC15ABE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211fce-31e8-4234-8052-75c9feeb7acf"/>
    <ds:schemaRef ds:uri="c9a84f97-1ec2-49c7-843a-b9677191db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3.2.1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ISI, MARIA NATALIA</dc:creator>
  <cp:lastModifiedBy>Alejandro Daniel Tejero Vacas</cp:lastModifiedBy>
  <dcterms:created xsi:type="dcterms:W3CDTF">2021-04-20T20:00:02Z</dcterms:created>
  <dcterms:modified xsi:type="dcterms:W3CDTF">2026-01-28T12:14:08Z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0x0101001143B90F469D674D8C70711F8DF942E8</vt:lpwstr>
  </property>
  <property fmtid="{D5CDD505-2E9C-101B-9397-08002B2CF9AE}" pid="3" name="MediaServiceImageTags">
    <vt:lpwstr/>
  </property>
</Properties>
</file>